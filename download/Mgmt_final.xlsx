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alaries" state="visible" r:id="rId5"/>
    <sheet sheetId="3" name="Incomes" state="visible" r:id="rId6"/>
    <sheet sheetId="4" name="Expenses" state="visible" r:id="rId7"/>
    <sheet sheetId="5" name="Net Profit" state="visible" r:id="rId8"/>
    <sheet sheetId="6" name="Improvement Plan" state="visible" r:id="rId9"/>
  </sheets>
  <calcPr calcId="171027"/>
</workbook>
</file>

<file path=xl/sharedStrings.xml><?xml version="1.0" encoding="utf-8"?>
<sst xmlns="http://schemas.openxmlformats.org/spreadsheetml/2006/main" count="403" uniqueCount="148">
  <si>
    <t>Nokhaba Tatweer for Trading — Management Report</t>
  </si>
  <si>
    <t>مؤسسة نخبة التطوير للتجارة  ·  October 2026  ·  17 Drivers</t>
  </si>
  <si>
    <t>Drivers</t>
  </si>
  <si>
    <t>Net Salary</t>
  </si>
  <si>
    <t>Total Income</t>
  </si>
  <si>
    <t>Total Expenses</t>
  </si>
  <si>
    <t>Net Profit</t>
  </si>
  <si>
    <t>Gross Salary</t>
  </si>
  <si>
    <t>Penalties</t>
  </si>
  <si>
    <t>Salary Breakdown</t>
  </si>
  <si>
    <t>Gross</t>
  </si>
  <si>
    <t>Bonus</t>
  </si>
  <si>
    <t>Missing Deduction</t>
  </si>
  <si>
    <t>Income vs Expenses</t>
  </si>
  <si>
    <t>Avg/Driver</t>
  </si>
  <si>
    <t>Profitable</t>
  </si>
  <si>
    <t>Loss</t>
  </si>
  <si>
    <t>Expenses by Category — Visual Bar Chart</t>
  </si>
  <si>
    <t>Category</t>
  </si>
  <si>
    <t>Amount</t>
  </si>
  <si>
    <t>Bar</t>
  </si>
  <si>
    <t>Office</t>
  </si>
  <si>
    <t>██████████████████████████████████████████████████</t>
  </si>
  <si>
    <t>Saudis salary and insurance</t>
  </si>
  <si>
    <t>████████████████████████████████████</t>
  </si>
  <si>
    <t>Accommodation / flat</t>
  </si>
  <si>
    <t>█████████████████████████████████</t>
  </si>
  <si>
    <t>Car rent</t>
  </si>
  <si>
    <t>████</t>
  </si>
  <si>
    <t>Petrol</t>
  </si>
  <si>
    <t>███</t>
  </si>
  <si>
    <t>Electricity and water</t>
  </si>
  <si>
    <t>Iqama</t>
  </si>
  <si>
    <t>Internet</t>
  </si>
  <si>
    <t>█</t>
  </si>
  <si>
    <t>Generated: 10/19/2026, 9:44:14 AM · Nokhaba Tatweer for Trading · Confidential</t>
  </si>
  <si>
    <t>Driver Salaries — October 2026 (Comprehensive)</t>
  </si>
  <si>
    <t>#</t>
  </si>
  <si>
    <t>Rider ID</t>
  </si>
  <si>
    <t>Driver Name</t>
  </si>
  <si>
    <t>Vehicle</t>
  </si>
  <si>
    <t>Contract</t>
  </si>
  <si>
    <t>Work Days</t>
  </si>
  <si>
    <t>Full Days</t>
  </si>
  <si>
    <t>Work Hrs</t>
  </si>
  <si>
    <t>Total Hrs</t>
  </si>
  <si>
    <t>Inactive</t>
  </si>
  <si>
    <t>Per-Order</t>
  </si>
  <si>
    <t>Completed</t>
  </si>
  <si>
    <t>Target</t>
  </si>
  <si>
    <t>Extra</t>
  </si>
  <si>
    <t>Missing</t>
  </si>
  <si>
    <t>Base Salary</t>
  </si>
  <si>
    <t>Missing Ded.</t>
  </si>
  <si>
    <t>Traffic</t>
  </si>
  <si>
    <t>4648308</t>
  </si>
  <si>
    <t>nokhaba_tatweer_ftr</t>
  </si>
  <si>
    <t>car</t>
  </si>
  <si>
    <t>407.7</t>
  </si>
  <si>
    <t>Active</t>
  </si>
  <si>
    <t>4.4444</t>
  </si>
  <si>
    <t>450</t>
  </si>
  <si>
    <t>4747290</t>
  </si>
  <si>
    <t>383.7</t>
  </si>
  <si>
    <t>4643856</t>
  </si>
  <si>
    <t>409.1</t>
  </si>
  <si>
    <t>4838478</t>
  </si>
  <si>
    <t>402.1</t>
  </si>
  <si>
    <t>4652654</t>
  </si>
  <si>
    <t>389.9</t>
  </si>
  <si>
    <t>4648709</t>
  </si>
  <si>
    <t>379.2</t>
  </si>
  <si>
    <t>4838471</t>
  </si>
  <si>
    <t>4611383</t>
  </si>
  <si>
    <t>394.5</t>
  </si>
  <si>
    <t>435</t>
  </si>
  <si>
    <t>4849909</t>
  </si>
  <si>
    <t>395.8</t>
  </si>
  <si>
    <t>4644774</t>
  </si>
  <si>
    <t>376.7</t>
  </si>
  <si>
    <t>4642935</t>
  </si>
  <si>
    <t>403.0</t>
  </si>
  <si>
    <t>4844480</t>
  </si>
  <si>
    <t>376.9</t>
  </si>
  <si>
    <t>4849222</t>
  </si>
  <si>
    <t>395.7</t>
  </si>
  <si>
    <t>4908598</t>
  </si>
  <si>
    <t>181.8</t>
  </si>
  <si>
    <t>225</t>
  </si>
  <si>
    <t>4652587</t>
  </si>
  <si>
    <t>360.5</t>
  </si>
  <si>
    <t>4849914</t>
  </si>
  <si>
    <t>343.0</t>
  </si>
  <si>
    <t>4898620</t>
  </si>
  <si>
    <t>205.6</t>
  </si>
  <si>
    <t>270</t>
  </si>
  <si>
    <t>TOTAL</t>
  </si>
  <si>
    <t>Driver Income Breakdown — October 2026 (All Fields)</t>
  </si>
  <si>
    <t>Basic Pay</t>
  </si>
  <si>
    <t>Distance Pay</t>
  </si>
  <si>
    <t>Segment Pay</t>
  </si>
  <si>
    <t>Acceptance</t>
  </si>
  <si>
    <t>Contact</t>
  </si>
  <si>
    <t>Stacking</t>
  </si>
  <si>
    <t>Declined</t>
  </si>
  <si>
    <t>Late</t>
  </si>
  <si>
    <t>No-Show</t>
  </si>
  <si>
    <t>NoShow-Spec</t>
  </si>
  <si>
    <t>Daily-Acc</t>
  </si>
  <si>
    <t>Missed Days</t>
  </si>
  <si>
    <t>Rider Bal.</t>
  </si>
  <si>
    <t>Total Penalties</t>
  </si>
  <si>
    <t>Per-Driver Expense Allocation — October 2026 · 17 Drivers</t>
  </si>
  <si>
    <t>Net Profit Analysis — October 2026</t>
  </si>
  <si>
    <t>Per-Driver Exp</t>
  </si>
  <si>
    <t>Shared Exp</t>
  </si>
  <si>
    <t>Total Exp</t>
  </si>
  <si>
    <t>Plan to Improve · خطة التحسين</t>
  </si>
  <si>
    <t>Current Situation</t>
  </si>
  <si>
    <t>Total Drivers</t>
  </si>
  <si>
    <t>25748.72</t>
  </si>
  <si>
    <t>104317.58</t>
  </si>
  <si>
    <t>108755.00</t>
  </si>
  <si>
    <t>-4437.42</t>
  </si>
  <si>
    <t>-261.02</t>
  </si>
  <si>
    <t>Key Issues</t>
  </si>
  <si>
    <t>Overall net loss</t>
  </si>
  <si>
    <t>Positive</t>
  </si>
  <si>
    <t>Reduce shared expenses or increase driver count</t>
  </si>
  <si>
    <t>7 unprofitable drivers</t>
  </si>
  <si>
    <t>7</t>
  </si>
  <si>
    <t>0</t>
  </si>
  <si>
    <t>Review: 4898620, 4908598, 4652587, 4849914, 4849222</t>
  </si>
  <si>
    <t>High penalties</t>
  </si>
  <si>
    <t>8276.07</t>
  </si>
  <si>
    <t>Reduce 20%</t>
  </si>
  <si>
    <t>Enforce acceptance rate policies</t>
  </si>
  <si>
    <t>Recommendations</t>
  </si>
  <si>
    <t>1. Increase driver count to reduce shared expenses per driver</t>
  </si>
  <si>
    <t>2. Renegotiate car rent (1,500 SAR/driver)</t>
  </si>
  <si>
    <t>3. Enforce acceptance rate to reduce stacking penalties</t>
  </si>
  <si>
    <t>4. Performance incentives for top performers</t>
  </si>
  <si>
    <t>5. Review bottom performers for training/replacement</t>
  </si>
  <si>
    <t>6. Monitor rider balance deductions</t>
  </si>
  <si>
    <t>7. Add more delivery company contracts</t>
  </si>
  <si>
    <t>8. Track monthly trends</t>
  </si>
  <si>
    <t>9. Audit expense categories quarterly</t>
  </si>
  <si>
    <t>10. Set up automated alerts for low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</si>
</sst>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FFFF"/>
      <sz val="16"/>
    </font>
    <font>
      <color rgb="374151"/>
      <sz val="12"/>
    </font>
    <font>
      <b/>
      <color rgb="374151"/>
      <sz val="8"/>
    </font>
    <font>
      <b/>
      <color rgb="1e3a8a"/>
      <sz val="13"/>
    </font>
    <font>
      <b/>
      <color rgb="059669"/>
      <sz val="13"/>
    </font>
    <font>
      <b/>
      <color rgb="ea580c"/>
      <sz val="13"/>
    </font>
    <font>
      <b/>
      <color rgb="dc2626"/>
      <sz val="13"/>
    </font>
    <font>
      <b/>
      <color rgb="FFFFFF"/>
      <sz val="12"/>
    </font>
    <font>
      <sz val="10"/>
    </font>
    <font>
      <b/>
      <color rgb="1e3a8a"/>
      <sz val="10"/>
    </font>
    <font>
      <b/>
      <color rgb="059669"/>
      <sz val="10"/>
    </font>
    <font>
      <b/>
      <color rgb="dc2626"/>
      <sz val="10"/>
    </font>
    <font>
      <b/>
      <color rgb="ea580c"/>
      <sz val="10"/>
    </font>
    <font>
      <b/>
      <sz val="10"/>
    </font>
    <font>
      <color rgb="ea580c"/>
      <sz val="10"/>
    </font>
    <font>
      <i/>
      <color rgb="9CA3AF"/>
      <sz val="8"/>
    </font>
    <font>
      <b/>
      <color rgb="FFFFFF"/>
      <sz val="14"/>
    </font>
    <font>
      <b/>
      <color rgb="FFFFFF"/>
      <sz val="8"/>
    </font>
    <font>
      <sz val="9"/>
    </font>
    <font>
      <color rgb="dc2626"/>
      <sz val="9"/>
    </font>
    <font>
      <b/>
      <color rgb="dc2626"/>
      <sz val="9"/>
    </font>
    <font>
      <b/>
      <color rgb="FFFFFF"/>
      <sz val="10"/>
    </font>
    <font>
      <b/>
      <color rgb="059669"/>
      <sz val="11"/>
    </font>
    <font>
      <b/>
      <color rgb="dc2626"/>
      <sz val="11"/>
    </font>
  </fonts>
  <fills count="12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dbeafe"/>
      </patternFill>
    </fill>
    <fill>
      <patternFill patternType="solid">
        <fgColor rgb="d1fae5"/>
      </patternFill>
    </fill>
    <fill>
      <patternFill patternType="solid">
        <fgColor rgb="fed7aa"/>
      </patternFill>
    </fill>
    <fill>
      <patternFill patternType="solid">
        <fgColor rgb="fecaca"/>
      </patternFill>
    </fill>
    <fill>
      <patternFill patternType="solid">
        <fgColor rgb="059669"/>
      </patternFill>
    </fill>
    <fill>
      <patternFill patternType="solid">
        <fgColor rgb="ea580c"/>
      </patternFill>
    </fill>
    <fill>
      <patternFill patternType="solid">
        <fgColor rgb="d97706"/>
      </patternFill>
    </fill>
    <fill>
      <patternFill patternType="solid">
        <fgColor rgb="374151"/>
      </patternFill>
    </fill>
    <fill>
      <patternFill patternType="solid">
        <fgColor rgb="dc2626"/>
      </patternFill>
    </fill>
  </fills>
  <borders count="9">
    <border>
      <left/>
      <right/>
      <top/>
      <bottom/>
      <diagonal/>
    </border>
    <border>
      <left/>
      <right/>
      <top style="medium">
        <color rgb="1e3a8a"/>
      </top>
      <bottom/>
      <diagonal/>
    </border>
    <border>
      <left/>
      <right/>
      <top style="medium">
        <color rgb="059669"/>
      </top>
      <bottom/>
      <diagonal/>
    </border>
    <border>
      <left/>
      <right/>
      <top style="medium">
        <color rgb="ea580c"/>
      </top>
      <bottom/>
      <diagonal/>
    </border>
    <border>
      <left/>
      <right/>
      <top style="medium">
        <color rgb="dc2626"/>
      </top>
      <bottom/>
      <diagonal/>
    </border>
    <border>
      <left/>
      <right/>
      <top/>
      <bottom style="hair">
        <color rgb="E5E7EB"/>
      </bottom>
      <diagonal/>
    </border>
    <border>
      <left/>
      <right/>
      <top style="double">
        <color rgb="1e3a8a"/>
      </top>
      <bottom/>
      <diagonal/>
    </border>
    <border>
      <left/>
      <right/>
      <top style="double">
        <color rgb="059669"/>
      </top>
      <bottom/>
      <diagonal/>
    </border>
    <border>
      <left/>
      <right/>
      <top style="double">
        <color rgb="ea580c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" fontId="5" fillId="4" borderId="0" xfId="0" applyNumberFormat="1" applyFont="1" applyFill="1" applyAlignment="1">
      <alignment horizontal="center"/>
    </xf>
    <xf numFmtId="4" fontId="6" fillId="5" borderId="0" xfId="0" applyNumberFormat="1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  <xf numFmtId="0" fontId="8" fillId="2" borderId="0" xfId="0" applyFont="1" applyFill="1"/>
    <xf numFmtId="0" fontId="9" fillId="0" borderId="0" xfId="0" applyFont="1"/>
    <xf numFmtId="4" fontId="10" fillId="0" borderId="0" xfId="0" applyNumberFormat="1" applyFont="1"/>
    <xf numFmtId="4" fontId="11" fillId="0" borderId="0" xfId="0" applyNumberFormat="1" applyFont="1"/>
    <xf numFmtId="4" fontId="12" fillId="0" borderId="0" xfId="0" applyNumberFormat="1" applyFont="1"/>
    <xf numFmtId="0" fontId="8" fillId="7" borderId="0" xfId="0" applyFont="1" applyFill="1"/>
    <xf numFmtId="4" fontId="13" fillId="0" borderId="0" xfId="0" applyNumberFormat="1" applyFont="1"/>
    <xf numFmtId="0" fontId="8" fillId="8" borderId="0" xfId="0" applyFont="1" applyFill="1"/>
    <xf numFmtId="0" fontId="14" fillId="0" borderId="0" xfId="0" applyFont="1"/>
    <xf numFmtId="4" fontId="14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19" fillId="0" borderId="5" xfId="0" applyFont="1" applyBorder="1" applyAlignment="1">
      <alignment horizontal="center"/>
    </xf>
    <xf numFmtId="0" fontId="19" fillId="0" borderId="5" xfId="0" applyFont="1" applyBorder="1" applyAlignment="1">
      <alignment horizontal="left"/>
    </xf>
    <xf numFmtId="0" fontId="19" fillId="0" borderId="5" xfId="0" applyFont="1" applyBorder="1" applyAlignment="1">
      <alignment horizontal="right"/>
    </xf>
    <xf numFmtId="4" fontId="19" fillId="0" borderId="5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0" fontId="10" fillId="3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right"/>
    </xf>
    <xf numFmtId="4" fontId="10" fillId="3" borderId="6" xfId="0" applyNumberFormat="1" applyFont="1" applyFill="1" applyBorder="1" applyAlignment="1">
      <alignment horizontal="right"/>
    </xf>
    <xf numFmtId="0" fontId="17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 vertical="center" wrapText="1"/>
    </xf>
    <xf numFmtId="4" fontId="20" fillId="0" borderId="5" xfId="0" applyNumberFormat="1" applyFont="1" applyBorder="1" applyAlignment="1">
      <alignment horizontal="right"/>
    </xf>
    <xf numFmtId="4" fontId="21" fillId="0" borderId="5" xfId="0" applyNumberFormat="1" applyFont="1" applyBorder="1" applyAlignment="1">
      <alignment horizontal="right"/>
    </xf>
    <xf numFmtId="4" fontId="11" fillId="4" borderId="7" xfId="0" applyNumberFormat="1" applyFont="1" applyFill="1" applyBorder="1" applyAlignment="1">
      <alignment horizontal="right"/>
    </xf>
    <xf numFmtId="0" fontId="17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19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5" borderId="8" xfId="0" applyFont="1" applyFill="1" applyBorder="1" applyAlignment="1">
      <alignment horizontal="left"/>
    </xf>
    <xf numFmtId="4" fontId="13" fillId="5" borderId="8" xfId="0" applyNumberFormat="1" applyFont="1" applyFill="1" applyBorder="1" applyAlignment="1">
      <alignment horizontal="right"/>
    </xf>
    <xf numFmtId="0" fontId="22" fillId="7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4" fontId="9" fillId="0" borderId="5" xfId="0" applyNumberFormat="1" applyFont="1" applyBorder="1" applyAlignment="1">
      <alignment horizontal="right"/>
    </xf>
    <xf numFmtId="4" fontId="23" fillId="4" borderId="5" xfId="0" applyNumberFormat="1" applyFont="1" applyFill="1" applyBorder="1" applyAlignment="1">
      <alignment horizontal="right"/>
    </xf>
    <xf numFmtId="4" fontId="24" fillId="6" borderId="5" xfId="0" applyNumberFormat="1" applyFont="1" applyFill="1" applyBorder="1" applyAlignment="1">
      <alignment horizontal="right"/>
    </xf>
    <xf numFmtId="4" fontId="23" fillId="4" borderId="7" xfId="0" applyNumberFormat="1" applyFon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8" fillId="10" borderId="0" xfId="0" applyFont="1" applyFill="1"/>
    <xf numFmtId="0" fontId="14" fillId="0" borderId="0" xfId="0" applyFont="1" applyAlignment="1">
      <alignment horizontal="right"/>
    </xf>
    <xf numFmtId="0" fontId="8" fillId="11" borderId="0" xfId="0" applyFont="1" applyFill="1"/>
    <xf numFmtId="0" fontId="9" fillId="0" borderId="5" xfId="0" applyFont="1" applyBorder="1"/>
    <xf numFmtId="0" fontId="9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G37"/>
  <sheetFormatPr defaultRowHeight="15" outlineLevelRow="0" outlineLevelCol="0" x14ac:dyDescent="55"/>
  <cols>
    <col min="1" max="1" width="30" customWidth="1"/>
    <col min="2" max="7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3" t="s">
        <v>7</v>
      </c>
      <c r="G4" s="6" t="s">
        <v>8</v>
      </c>
    </row>
    <row r="5" spans="1:7" x14ac:dyDescent="0.25">
      <c r="A5" s="7">
        <v>17</v>
      </c>
      <c r="B5" s="8">
        <v>25748.715555555562</v>
      </c>
      <c r="C5" s="8">
        <v>104317.5790999999</v>
      </c>
      <c r="D5" s="9">
        <v>108755.00000000001</v>
      </c>
      <c r="E5" s="10">
        <v>-4437.420900000076</v>
      </c>
      <c r="F5" s="11">
        <v>33976.11111111111</v>
      </c>
      <c r="G5" s="10">
        <v>8276.07</v>
      </c>
    </row>
    <row r="8" spans="1:7" x14ac:dyDescent="0.25">
      <c r="A8" s="12" t="s">
        <v>9</v>
      </c>
      <c r="B8" s="12"/>
      <c r="C8" s="12"/>
      <c r="D8" s="12"/>
      <c r="E8" s="12"/>
      <c r="F8" s="12"/>
      <c r="G8" s="12"/>
    </row>
    <row r="9" spans="1:2" x14ac:dyDescent="0.25">
      <c r="A9" s="13" t="s">
        <v>10</v>
      </c>
      <c r="B9" s="14">
        <v>33976.11111111111</v>
      </c>
    </row>
    <row r="10" spans="1:2" x14ac:dyDescent="0.25">
      <c r="A10" s="13" t="s">
        <v>11</v>
      </c>
      <c r="B10" s="15">
        <v>4370</v>
      </c>
    </row>
    <row r="11" spans="1:2" x14ac:dyDescent="0.25">
      <c r="A11" s="13" t="s">
        <v>12</v>
      </c>
      <c r="B11" s="16">
        <v>2660</v>
      </c>
    </row>
    <row r="12" spans="1:2" x14ac:dyDescent="0.25">
      <c r="A12" s="13" t="s">
        <v>8</v>
      </c>
      <c r="B12" s="16">
        <v>8276.07</v>
      </c>
    </row>
    <row r="13" spans="1:2" x14ac:dyDescent="0.25">
      <c r="A13" s="13" t="s">
        <v>3</v>
      </c>
      <c r="B13" s="15">
        <v>25748.715555555562</v>
      </c>
    </row>
    <row r="16" spans="1:7" x14ac:dyDescent="0.25">
      <c r="A16" s="17" t="s">
        <v>13</v>
      </c>
      <c r="B16" s="17"/>
      <c r="C16" s="17"/>
      <c r="D16" s="17"/>
      <c r="E16" s="17"/>
      <c r="F16" s="17"/>
      <c r="G16" s="17"/>
    </row>
    <row r="17" spans="1:2" x14ac:dyDescent="0.25">
      <c r="A17" s="13" t="s">
        <v>4</v>
      </c>
      <c r="B17" s="15">
        <v>104317.5790999999</v>
      </c>
    </row>
    <row r="18" spans="1:2" x14ac:dyDescent="0.25">
      <c r="A18" s="13" t="s">
        <v>5</v>
      </c>
      <c r="B18" s="18">
        <v>108755.00000000001</v>
      </c>
    </row>
    <row r="19" spans="1:2" x14ac:dyDescent="0.25">
      <c r="A19" s="13" t="s">
        <v>6</v>
      </c>
      <c r="B19" s="16">
        <v>-4437.420900000076</v>
      </c>
    </row>
    <row r="20" spans="1:2" x14ac:dyDescent="0.25">
      <c r="A20" s="13" t="s">
        <v>14</v>
      </c>
      <c r="B20" s="16">
        <v>-261.02475882353383</v>
      </c>
    </row>
    <row r="21" spans="1:2" x14ac:dyDescent="0.25">
      <c r="A21" s="13" t="s">
        <v>15</v>
      </c>
      <c r="B21" s="15">
        <v>10</v>
      </c>
    </row>
    <row r="22" spans="1:2" x14ac:dyDescent="0.25">
      <c r="A22" s="13" t="s">
        <v>16</v>
      </c>
      <c r="B22" s="16">
        <v>7</v>
      </c>
    </row>
    <row r="25" spans="1:7" x14ac:dyDescent="0.25">
      <c r="A25" s="19" t="s">
        <v>17</v>
      </c>
      <c r="B25" s="19"/>
      <c r="C25" s="19"/>
      <c r="D25" s="19"/>
      <c r="E25" s="19"/>
      <c r="F25" s="19"/>
      <c r="G25" s="19"/>
    </row>
    <row r="26" spans="1:3" x14ac:dyDescent="0.25">
      <c r="A26" s="20" t="s">
        <v>18</v>
      </c>
      <c r="B26" s="20" t="s">
        <v>19</v>
      </c>
      <c r="C26" s="20" t="s">
        <v>20</v>
      </c>
    </row>
    <row r="27" spans="1:3" x14ac:dyDescent="0.25">
      <c r="A27" s="13" t="s">
        <v>21</v>
      </c>
      <c r="B27" s="21">
        <v>18000</v>
      </c>
      <c r="C27" s="22" t="s">
        <v>22</v>
      </c>
    </row>
    <row r="28" spans="1:3" x14ac:dyDescent="0.25">
      <c r="A28" s="13" t="s">
        <v>23</v>
      </c>
      <c r="B28" s="21">
        <v>12900</v>
      </c>
      <c r="C28" s="22" t="s">
        <v>24</v>
      </c>
    </row>
    <row r="29" spans="1:3" x14ac:dyDescent="0.25">
      <c r="A29" s="13" t="s">
        <v>25</v>
      </c>
      <c r="B29" s="21">
        <v>12000</v>
      </c>
      <c r="C29" s="22" t="s">
        <v>26</v>
      </c>
    </row>
    <row r="30" spans="1:3" x14ac:dyDescent="0.25">
      <c r="A30" s="13" t="s">
        <v>27</v>
      </c>
      <c r="B30" s="21">
        <v>1500</v>
      </c>
      <c r="C30" s="22" t="s">
        <v>28</v>
      </c>
    </row>
    <row r="31" spans="1:3" x14ac:dyDescent="0.25">
      <c r="A31" s="13" t="s">
        <v>29</v>
      </c>
      <c r="B31" s="21">
        <v>1200</v>
      </c>
      <c r="C31" s="22" t="s">
        <v>30</v>
      </c>
    </row>
    <row r="32" spans="1:3" x14ac:dyDescent="0.25">
      <c r="A32" s="13" t="s">
        <v>31</v>
      </c>
      <c r="B32" s="21">
        <v>1000</v>
      </c>
      <c r="C32" s="22" t="s">
        <v>30</v>
      </c>
    </row>
    <row r="33" spans="1:3" x14ac:dyDescent="0.25">
      <c r="A33" s="13" t="s">
        <v>32</v>
      </c>
      <c r="B33" s="21">
        <v>1000</v>
      </c>
      <c r="C33" s="22" t="s">
        <v>30</v>
      </c>
    </row>
    <row r="34" spans="1:3" x14ac:dyDescent="0.25">
      <c r="A34" s="13" t="s">
        <v>33</v>
      </c>
      <c r="B34" s="21">
        <v>115</v>
      </c>
      <c r="C34" s="22" t="s">
        <v>34</v>
      </c>
    </row>
    <row r="37" spans="1:7" x14ac:dyDescent="0.25">
      <c r="A37" s="23" t="s">
        <v>35</v>
      </c>
      <c r="B37" s="23"/>
      <c r="C37" s="23"/>
      <c r="D37" s="23"/>
      <c r="E37" s="23"/>
      <c r="F37" s="23"/>
      <c r="G37" s="23"/>
    </row>
  </sheetData>
  <mergeCells count="6">
    <mergeCell ref="A1:G1"/>
    <mergeCell ref="A2:G2"/>
    <mergeCell ref="A8:G8"/>
    <mergeCell ref="A16:G16"/>
    <mergeCell ref="A25:G25"/>
    <mergeCell ref="A37:G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U2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10" customWidth="1"/>
    <col min="5" max="5" width="14" customWidth="1"/>
    <col min="6" max="10" width="10" customWidth="1"/>
    <col min="11" max="11" width="12" customWidth="1"/>
    <col min="12" max="15" width="10" customWidth="1"/>
    <col min="16" max="21" width="14" customWidth="1"/>
  </cols>
  <sheetData>
    <row r="1" spans="1:21" x14ac:dyDescent="0.25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3" ht="30" customHeight="1" spans="1:21" x14ac:dyDescent="0.25">
      <c r="A3" s="25" t="s">
        <v>37</v>
      </c>
      <c r="B3" s="25" t="s">
        <v>38</v>
      </c>
      <c r="C3" s="25" t="s">
        <v>39</v>
      </c>
      <c r="D3" s="25" t="s">
        <v>40</v>
      </c>
      <c r="E3" s="25" t="s">
        <v>41</v>
      </c>
      <c r="F3" s="25" t="s">
        <v>42</v>
      </c>
      <c r="G3" s="25" t="s">
        <v>43</v>
      </c>
      <c r="H3" s="25" t="s">
        <v>44</v>
      </c>
      <c r="I3" s="25" t="s">
        <v>45</v>
      </c>
      <c r="J3" s="25" t="s">
        <v>46</v>
      </c>
      <c r="K3" s="25" t="s">
        <v>47</v>
      </c>
      <c r="L3" s="25" t="s">
        <v>48</v>
      </c>
      <c r="M3" s="25" t="s">
        <v>49</v>
      </c>
      <c r="N3" s="25" t="s">
        <v>50</v>
      </c>
      <c r="O3" s="25" t="s">
        <v>51</v>
      </c>
      <c r="P3" s="25" t="s">
        <v>52</v>
      </c>
      <c r="Q3" s="25" t="s">
        <v>11</v>
      </c>
      <c r="R3" s="25" t="s">
        <v>53</v>
      </c>
      <c r="S3" s="25" t="s">
        <v>8</v>
      </c>
      <c r="T3" s="25" t="s">
        <v>54</v>
      </c>
      <c r="U3" s="25" t="s">
        <v>3</v>
      </c>
    </row>
    <row r="4" spans="1:21" x14ac:dyDescent="0.25">
      <c r="A4" s="26">
        <v>1</v>
      </c>
      <c r="B4" s="26" t="s">
        <v>55</v>
      </c>
      <c r="C4" s="27" t="s">
        <v>56</v>
      </c>
      <c r="D4" s="26" t="s">
        <v>57</v>
      </c>
      <c r="E4" s="26" t="s">
        <v>56</v>
      </c>
      <c r="F4" s="28">
        <v>30</v>
      </c>
      <c r="G4" s="28">
        <v>30</v>
      </c>
      <c r="H4" s="28" t="s">
        <v>58</v>
      </c>
      <c r="I4" s="28" t="s">
        <v>58</v>
      </c>
      <c r="J4" s="27" t="s">
        <v>59</v>
      </c>
      <c r="K4" s="28" t="s">
        <v>60</v>
      </c>
      <c r="L4" s="28">
        <v>572</v>
      </c>
      <c r="M4" s="28" t="s">
        <v>61</v>
      </c>
      <c r="N4" s="28">
        <v>122</v>
      </c>
      <c r="O4" s="28">
        <v>0</v>
      </c>
      <c r="P4" s="29">
        <v>2000</v>
      </c>
      <c r="Q4" s="29">
        <v>1220</v>
      </c>
      <c r="R4" s="29">
        <v>0</v>
      </c>
      <c r="S4" s="29">
        <v>536.77</v>
      </c>
      <c r="T4" s="29">
        <v>0</v>
      </c>
      <c r="U4" s="30">
        <v>2798.23</v>
      </c>
    </row>
    <row r="5" spans="1:21" x14ac:dyDescent="0.25">
      <c r="A5" s="26">
        <v>2</v>
      </c>
      <c r="B5" s="26" t="s">
        <v>62</v>
      </c>
      <c r="C5" s="27" t="s">
        <v>56</v>
      </c>
      <c r="D5" s="26" t="s">
        <v>57</v>
      </c>
      <c r="E5" s="26" t="s">
        <v>56</v>
      </c>
      <c r="F5" s="28">
        <v>30</v>
      </c>
      <c r="G5" s="28">
        <v>30</v>
      </c>
      <c r="H5" s="28" t="s">
        <v>63</v>
      </c>
      <c r="I5" s="28" t="s">
        <v>63</v>
      </c>
      <c r="J5" s="27" t="s">
        <v>59</v>
      </c>
      <c r="K5" s="28" t="s">
        <v>60</v>
      </c>
      <c r="L5" s="28">
        <v>515</v>
      </c>
      <c r="M5" s="28" t="s">
        <v>61</v>
      </c>
      <c r="N5" s="28">
        <v>65</v>
      </c>
      <c r="O5" s="28">
        <v>0</v>
      </c>
      <c r="P5" s="29">
        <v>2000</v>
      </c>
      <c r="Q5" s="29">
        <v>650</v>
      </c>
      <c r="R5" s="29">
        <v>0</v>
      </c>
      <c r="S5" s="29">
        <v>342.88</v>
      </c>
      <c r="T5" s="29">
        <v>0</v>
      </c>
      <c r="U5" s="30">
        <v>2422.12</v>
      </c>
    </row>
    <row r="6" spans="1:21" x14ac:dyDescent="0.25">
      <c r="A6" s="26">
        <v>3</v>
      </c>
      <c r="B6" s="26" t="s">
        <v>64</v>
      </c>
      <c r="C6" s="27" t="s">
        <v>56</v>
      </c>
      <c r="D6" s="26" t="s">
        <v>57</v>
      </c>
      <c r="E6" s="26" t="s">
        <v>56</v>
      </c>
      <c r="F6" s="28">
        <v>30</v>
      </c>
      <c r="G6" s="28">
        <v>30</v>
      </c>
      <c r="H6" s="28" t="s">
        <v>65</v>
      </c>
      <c r="I6" s="28" t="s">
        <v>65</v>
      </c>
      <c r="J6" s="27" t="s">
        <v>59</v>
      </c>
      <c r="K6" s="28" t="s">
        <v>60</v>
      </c>
      <c r="L6" s="28">
        <v>552</v>
      </c>
      <c r="M6" s="28" t="s">
        <v>61</v>
      </c>
      <c r="N6" s="28">
        <v>102</v>
      </c>
      <c r="O6" s="28">
        <v>0</v>
      </c>
      <c r="P6" s="29">
        <v>2000</v>
      </c>
      <c r="Q6" s="29">
        <v>1020</v>
      </c>
      <c r="R6" s="29">
        <v>0</v>
      </c>
      <c r="S6" s="29">
        <v>754.98</v>
      </c>
      <c r="T6" s="29">
        <v>0</v>
      </c>
      <c r="U6" s="30">
        <v>2380.02</v>
      </c>
    </row>
    <row r="7" spans="1:21" x14ac:dyDescent="0.25">
      <c r="A7" s="26">
        <v>4</v>
      </c>
      <c r="B7" s="26" t="s">
        <v>66</v>
      </c>
      <c r="C7" s="27" t="s">
        <v>56</v>
      </c>
      <c r="D7" s="26" t="s">
        <v>57</v>
      </c>
      <c r="E7" s="26" t="s">
        <v>56</v>
      </c>
      <c r="F7" s="28">
        <v>30</v>
      </c>
      <c r="G7" s="28">
        <v>30</v>
      </c>
      <c r="H7" s="28" t="s">
        <v>67</v>
      </c>
      <c r="I7" s="28" t="s">
        <v>67</v>
      </c>
      <c r="J7" s="27" t="s">
        <v>59</v>
      </c>
      <c r="K7" s="28" t="s">
        <v>60</v>
      </c>
      <c r="L7" s="28">
        <v>515</v>
      </c>
      <c r="M7" s="28" t="s">
        <v>61</v>
      </c>
      <c r="N7" s="28">
        <v>65</v>
      </c>
      <c r="O7" s="28">
        <v>0</v>
      </c>
      <c r="P7" s="29">
        <v>2000</v>
      </c>
      <c r="Q7" s="29">
        <v>650</v>
      </c>
      <c r="R7" s="29">
        <v>0</v>
      </c>
      <c r="S7" s="29">
        <v>589.5</v>
      </c>
      <c r="T7" s="29">
        <v>0</v>
      </c>
      <c r="U7" s="30">
        <v>2175.5</v>
      </c>
    </row>
    <row r="8" spans="1:21" x14ac:dyDescent="0.25">
      <c r="A8" s="26">
        <v>5</v>
      </c>
      <c r="B8" s="26" t="s">
        <v>68</v>
      </c>
      <c r="C8" s="27" t="s">
        <v>56</v>
      </c>
      <c r="D8" s="26" t="s">
        <v>57</v>
      </c>
      <c r="E8" s="26" t="s">
        <v>56</v>
      </c>
      <c r="F8" s="28">
        <v>30</v>
      </c>
      <c r="G8" s="28">
        <v>29</v>
      </c>
      <c r="H8" s="28" t="s">
        <v>69</v>
      </c>
      <c r="I8" s="28" t="s">
        <v>69</v>
      </c>
      <c r="J8" s="27" t="s">
        <v>59</v>
      </c>
      <c r="K8" s="28" t="s">
        <v>60</v>
      </c>
      <c r="L8" s="28">
        <v>465</v>
      </c>
      <c r="M8" s="28" t="s">
        <v>61</v>
      </c>
      <c r="N8" s="28">
        <v>15</v>
      </c>
      <c r="O8" s="28">
        <v>0</v>
      </c>
      <c r="P8" s="29">
        <v>2000</v>
      </c>
      <c r="Q8" s="29">
        <v>150</v>
      </c>
      <c r="R8" s="29">
        <v>0</v>
      </c>
      <c r="S8" s="29">
        <v>294.68</v>
      </c>
      <c r="T8" s="29">
        <v>0</v>
      </c>
      <c r="U8" s="30">
        <v>1970.32</v>
      </c>
    </row>
    <row r="9" spans="1:21" x14ac:dyDescent="0.25">
      <c r="A9" s="26">
        <v>6</v>
      </c>
      <c r="B9" s="26" t="s">
        <v>70</v>
      </c>
      <c r="C9" s="27" t="s">
        <v>56</v>
      </c>
      <c r="D9" s="26" t="s">
        <v>57</v>
      </c>
      <c r="E9" s="26" t="s">
        <v>56</v>
      </c>
      <c r="F9" s="28">
        <v>30</v>
      </c>
      <c r="G9" s="28">
        <v>30</v>
      </c>
      <c r="H9" s="28" t="s">
        <v>71</v>
      </c>
      <c r="I9" s="28" t="s">
        <v>71</v>
      </c>
      <c r="J9" s="27" t="s">
        <v>59</v>
      </c>
      <c r="K9" s="28" t="s">
        <v>60</v>
      </c>
      <c r="L9" s="28">
        <v>484</v>
      </c>
      <c r="M9" s="28" t="s">
        <v>61</v>
      </c>
      <c r="N9" s="28">
        <v>34</v>
      </c>
      <c r="O9" s="28">
        <v>0</v>
      </c>
      <c r="P9" s="29">
        <v>2000</v>
      </c>
      <c r="Q9" s="29">
        <v>340</v>
      </c>
      <c r="R9" s="29">
        <v>0</v>
      </c>
      <c r="S9" s="29">
        <v>634.2</v>
      </c>
      <c r="T9" s="29">
        <v>0</v>
      </c>
      <c r="U9" s="30">
        <v>1820.8</v>
      </c>
    </row>
    <row r="10" spans="1:21" x14ac:dyDescent="0.25">
      <c r="A10" s="26">
        <v>7</v>
      </c>
      <c r="B10" s="26" t="s">
        <v>72</v>
      </c>
      <c r="C10" s="27" t="s">
        <v>56</v>
      </c>
      <c r="D10" s="26" t="s">
        <v>57</v>
      </c>
      <c r="E10" s="26" t="s">
        <v>56</v>
      </c>
      <c r="F10" s="28">
        <v>30</v>
      </c>
      <c r="G10" s="28">
        <v>30</v>
      </c>
      <c r="H10" s="28" t="s">
        <v>58</v>
      </c>
      <c r="I10" s="28" t="s">
        <v>58</v>
      </c>
      <c r="J10" s="27" t="s">
        <v>59</v>
      </c>
      <c r="K10" s="28" t="s">
        <v>60</v>
      </c>
      <c r="L10" s="28">
        <v>452</v>
      </c>
      <c r="M10" s="28" t="s">
        <v>61</v>
      </c>
      <c r="N10" s="28">
        <v>2</v>
      </c>
      <c r="O10" s="28">
        <v>0</v>
      </c>
      <c r="P10" s="29">
        <v>2000</v>
      </c>
      <c r="Q10" s="29">
        <v>20</v>
      </c>
      <c r="R10" s="29">
        <v>0</v>
      </c>
      <c r="S10" s="29">
        <v>394.64</v>
      </c>
      <c r="T10" s="29">
        <v>0</v>
      </c>
      <c r="U10" s="30">
        <v>1740.36</v>
      </c>
    </row>
    <row r="11" spans="1:21" x14ac:dyDescent="0.25">
      <c r="A11" s="26">
        <v>8</v>
      </c>
      <c r="B11" s="26" t="s">
        <v>73</v>
      </c>
      <c r="C11" s="27" t="s">
        <v>56</v>
      </c>
      <c r="D11" s="26" t="s">
        <v>57</v>
      </c>
      <c r="E11" s="26" t="s">
        <v>56</v>
      </c>
      <c r="F11" s="28">
        <v>29</v>
      </c>
      <c r="G11" s="28">
        <v>29</v>
      </c>
      <c r="H11" s="28" t="s">
        <v>74</v>
      </c>
      <c r="I11" s="28" t="s">
        <v>74</v>
      </c>
      <c r="J11" s="27" t="s">
        <v>59</v>
      </c>
      <c r="K11" s="28" t="s">
        <v>60</v>
      </c>
      <c r="L11" s="28">
        <v>453</v>
      </c>
      <c r="M11" s="28" t="s">
        <v>75</v>
      </c>
      <c r="N11" s="28">
        <v>18</v>
      </c>
      <c r="O11" s="28">
        <v>0</v>
      </c>
      <c r="P11" s="29">
        <v>1933.333333333333</v>
      </c>
      <c r="Q11" s="29">
        <v>180</v>
      </c>
      <c r="R11" s="29">
        <v>0</v>
      </c>
      <c r="S11" s="29">
        <v>497.87</v>
      </c>
      <c r="T11" s="29">
        <v>0</v>
      </c>
      <c r="U11" s="30">
        <v>1730.463333333334</v>
      </c>
    </row>
    <row r="12" spans="1:21" x14ac:dyDescent="0.25">
      <c r="A12" s="26">
        <v>9</v>
      </c>
      <c r="B12" s="26" t="s">
        <v>76</v>
      </c>
      <c r="C12" s="27" t="s">
        <v>56</v>
      </c>
      <c r="D12" s="26" t="s">
        <v>57</v>
      </c>
      <c r="E12" s="26" t="s">
        <v>56</v>
      </c>
      <c r="F12" s="28">
        <v>30</v>
      </c>
      <c r="G12" s="28">
        <v>30</v>
      </c>
      <c r="H12" s="28" t="s">
        <v>77</v>
      </c>
      <c r="I12" s="28" t="s">
        <v>77</v>
      </c>
      <c r="J12" s="27" t="s">
        <v>59</v>
      </c>
      <c r="K12" s="28" t="s">
        <v>60</v>
      </c>
      <c r="L12" s="28">
        <v>463</v>
      </c>
      <c r="M12" s="28" t="s">
        <v>61</v>
      </c>
      <c r="N12" s="28">
        <v>13</v>
      </c>
      <c r="O12" s="28">
        <v>0</v>
      </c>
      <c r="P12" s="29">
        <v>2000</v>
      </c>
      <c r="Q12" s="29">
        <v>130</v>
      </c>
      <c r="R12" s="29">
        <v>0</v>
      </c>
      <c r="S12" s="29">
        <v>540.69</v>
      </c>
      <c r="T12" s="29">
        <v>0</v>
      </c>
      <c r="U12" s="30">
        <v>1704.31</v>
      </c>
    </row>
    <row r="13" spans="1:21" x14ac:dyDescent="0.25">
      <c r="A13" s="26">
        <v>10</v>
      </c>
      <c r="B13" s="26" t="s">
        <v>78</v>
      </c>
      <c r="C13" s="27" t="s">
        <v>56</v>
      </c>
      <c r="D13" s="26" t="s">
        <v>57</v>
      </c>
      <c r="E13" s="26" t="s">
        <v>56</v>
      </c>
      <c r="F13" s="28">
        <v>30</v>
      </c>
      <c r="G13" s="28">
        <v>30</v>
      </c>
      <c r="H13" s="28" t="s">
        <v>79</v>
      </c>
      <c r="I13" s="28" t="s">
        <v>79</v>
      </c>
      <c r="J13" s="27" t="s">
        <v>59</v>
      </c>
      <c r="K13" s="28" t="s">
        <v>60</v>
      </c>
      <c r="L13" s="28">
        <v>451</v>
      </c>
      <c r="M13" s="28" t="s">
        <v>61</v>
      </c>
      <c r="N13" s="28">
        <v>1</v>
      </c>
      <c r="O13" s="28">
        <v>0</v>
      </c>
      <c r="P13" s="29">
        <v>2000</v>
      </c>
      <c r="Q13" s="29">
        <v>10</v>
      </c>
      <c r="R13" s="29">
        <v>0</v>
      </c>
      <c r="S13" s="29">
        <v>447.12</v>
      </c>
      <c r="T13" s="29">
        <v>0</v>
      </c>
      <c r="U13" s="30">
        <v>1677.88</v>
      </c>
    </row>
    <row r="14" spans="1:21" x14ac:dyDescent="0.25">
      <c r="A14" s="26">
        <v>11</v>
      </c>
      <c r="B14" s="26" t="s">
        <v>80</v>
      </c>
      <c r="C14" s="27" t="s">
        <v>56</v>
      </c>
      <c r="D14" s="26" t="s">
        <v>57</v>
      </c>
      <c r="E14" s="26" t="s">
        <v>56</v>
      </c>
      <c r="F14" s="28">
        <v>30</v>
      </c>
      <c r="G14" s="28">
        <v>30</v>
      </c>
      <c r="H14" s="28" t="s">
        <v>81</v>
      </c>
      <c r="I14" s="28" t="s">
        <v>81</v>
      </c>
      <c r="J14" s="27" t="s">
        <v>59</v>
      </c>
      <c r="K14" s="28" t="s">
        <v>60</v>
      </c>
      <c r="L14" s="28">
        <v>430</v>
      </c>
      <c r="M14" s="28" t="s">
        <v>61</v>
      </c>
      <c r="N14" s="28">
        <v>0</v>
      </c>
      <c r="O14" s="28">
        <v>20</v>
      </c>
      <c r="P14" s="29">
        <v>2000</v>
      </c>
      <c r="Q14" s="29">
        <v>0</v>
      </c>
      <c r="R14" s="29">
        <v>140</v>
      </c>
      <c r="S14" s="29">
        <v>260.3</v>
      </c>
      <c r="T14" s="29">
        <v>0</v>
      </c>
      <c r="U14" s="30">
        <v>1625.811111111111</v>
      </c>
    </row>
    <row r="15" spans="1:21" x14ac:dyDescent="0.25">
      <c r="A15" s="26">
        <v>12</v>
      </c>
      <c r="B15" s="26" t="s">
        <v>82</v>
      </c>
      <c r="C15" s="27" t="s">
        <v>56</v>
      </c>
      <c r="D15" s="26" t="s">
        <v>57</v>
      </c>
      <c r="E15" s="26" t="s">
        <v>56</v>
      </c>
      <c r="F15" s="28">
        <v>29</v>
      </c>
      <c r="G15" s="28">
        <v>28</v>
      </c>
      <c r="H15" s="28" t="s">
        <v>83</v>
      </c>
      <c r="I15" s="28" t="s">
        <v>83</v>
      </c>
      <c r="J15" s="27" t="s">
        <v>59</v>
      </c>
      <c r="K15" s="28" t="s">
        <v>60</v>
      </c>
      <c r="L15" s="28">
        <v>407</v>
      </c>
      <c r="M15" s="28" t="s">
        <v>75</v>
      </c>
      <c r="N15" s="28">
        <v>0</v>
      </c>
      <c r="O15" s="28">
        <v>28</v>
      </c>
      <c r="P15" s="29">
        <v>1933.333333333333</v>
      </c>
      <c r="Q15" s="29">
        <v>0</v>
      </c>
      <c r="R15" s="29">
        <v>196</v>
      </c>
      <c r="S15" s="29">
        <v>406.2</v>
      </c>
      <c r="T15" s="29">
        <v>0</v>
      </c>
      <c r="U15" s="30">
        <v>1321.688888888889</v>
      </c>
    </row>
    <row r="16" spans="1:21" x14ac:dyDescent="0.25">
      <c r="A16" s="26">
        <v>13</v>
      </c>
      <c r="B16" s="26" t="s">
        <v>84</v>
      </c>
      <c r="C16" s="27" t="s">
        <v>56</v>
      </c>
      <c r="D16" s="26" t="s">
        <v>57</v>
      </c>
      <c r="E16" s="26" t="s">
        <v>56</v>
      </c>
      <c r="F16" s="28">
        <v>30</v>
      </c>
      <c r="G16" s="28">
        <v>30</v>
      </c>
      <c r="H16" s="28" t="s">
        <v>85</v>
      </c>
      <c r="I16" s="28" t="s">
        <v>85</v>
      </c>
      <c r="J16" s="27" t="s">
        <v>59</v>
      </c>
      <c r="K16" s="28" t="s">
        <v>60</v>
      </c>
      <c r="L16" s="28">
        <v>411</v>
      </c>
      <c r="M16" s="28" t="s">
        <v>61</v>
      </c>
      <c r="N16" s="28">
        <v>0</v>
      </c>
      <c r="O16" s="28">
        <v>39</v>
      </c>
      <c r="P16" s="29">
        <v>2000</v>
      </c>
      <c r="Q16" s="29">
        <v>0</v>
      </c>
      <c r="R16" s="29">
        <v>273</v>
      </c>
      <c r="S16" s="29">
        <v>370.73</v>
      </c>
      <c r="T16" s="29">
        <v>0</v>
      </c>
      <c r="U16" s="30">
        <v>1297.936666666667</v>
      </c>
    </row>
    <row r="17" spans="1:21" x14ac:dyDescent="0.25">
      <c r="A17" s="26">
        <v>14</v>
      </c>
      <c r="B17" s="26" t="s">
        <v>86</v>
      </c>
      <c r="C17" s="27" t="s">
        <v>56</v>
      </c>
      <c r="D17" s="26" t="s">
        <v>57</v>
      </c>
      <c r="E17" s="26" t="s">
        <v>56</v>
      </c>
      <c r="F17" s="28">
        <v>15</v>
      </c>
      <c r="G17" s="28">
        <v>14</v>
      </c>
      <c r="H17" s="28" t="s">
        <v>87</v>
      </c>
      <c r="I17" s="28" t="s">
        <v>87</v>
      </c>
      <c r="J17" s="27" t="s">
        <v>59</v>
      </c>
      <c r="K17" s="28" t="s">
        <v>60</v>
      </c>
      <c r="L17" s="28">
        <v>204</v>
      </c>
      <c r="M17" s="28" t="s">
        <v>88</v>
      </c>
      <c r="N17" s="28">
        <v>0</v>
      </c>
      <c r="O17" s="28">
        <v>21</v>
      </c>
      <c r="P17" s="29">
        <v>1000</v>
      </c>
      <c r="Q17" s="29">
        <v>0</v>
      </c>
      <c r="R17" s="29">
        <v>147</v>
      </c>
      <c r="S17" s="29">
        <v>401.36</v>
      </c>
      <c r="T17" s="29">
        <v>0</v>
      </c>
      <c r="U17" s="30">
        <v>473.3066666666667</v>
      </c>
    </row>
    <row r="18" spans="1:21" x14ac:dyDescent="0.25">
      <c r="A18" s="26">
        <v>15</v>
      </c>
      <c r="B18" s="26" t="s">
        <v>89</v>
      </c>
      <c r="C18" s="27" t="s">
        <v>56</v>
      </c>
      <c r="D18" s="26" t="s">
        <v>57</v>
      </c>
      <c r="E18" s="26" t="s">
        <v>56</v>
      </c>
      <c r="F18" s="28">
        <v>30</v>
      </c>
      <c r="G18" s="28">
        <v>25</v>
      </c>
      <c r="H18" s="28" t="s">
        <v>90</v>
      </c>
      <c r="I18" s="28" t="s">
        <v>90</v>
      </c>
      <c r="J18" s="27" t="s">
        <v>59</v>
      </c>
      <c r="K18" s="28" t="s">
        <v>60</v>
      </c>
      <c r="L18" s="28">
        <v>345</v>
      </c>
      <c r="M18" s="28" t="s">
        <v>61</v>
      </c>
      <c r="N18" s="28">
        <v>0</v>
      </c>
      <c r="O18" s="28">
        <v>105</v>
      </c>
      <c r="P18" s="29">
        <v>2000</v>
      </c>
      <c r="Q18" s="29">
        <v>0</v>
      </c>
      <c r="R18" s="29">
        <v>735</v>
      </c>
      <c r="S18" s="29">
        <v>516.3299999999999</v>
      </c>
      <c r="T18" s="29">
        <v>0</v>
      </c>
      <c r="U18" s="30">
        <v>397.0033333333336</v>
      </c>
    </row>
    <row r="19" spans="1:21" x14ac:dyDescent="0.25">
      <c r="A19" s="26">
        <v>16</v>
      </c>
      <c r="B19" s="26" t="s">
        <v>91</v>
      </c>
      <c r="C19" s="27" t="s">
        <v>56</v>
      </c>
      <c r="D19" s="26" t="s">
        <v>57</v>
      </c>
      <c r="E19" s="26" t="s">
        <v>56</v>
      </c>
      <c r="F19" s="28">
        <v>29</v>
      </c>
      <c r="G19" s="28">
        <v>24</v>
      </c>
      <c r="H19" s="28" t="s">
        <v>92</v>
      </c>
      <c r="I19" s="28" t="s">
        <v>92</v>
      </c>
      <c r="J19" s="27" t="s">
        <v>59</v>
      </c>
      <c r="K19" s="28" t="s">
        <v>60</v>
      </c>
      <c r="L19" s="28">
        <v>323</v>
      </c>
      <c r="M19" s="28" t="s">
        <v>75</v>
      </c>
      <c r="N19" s="28">
        <v>0</v>
      </c>
      <c r="O19" s="28">
        <v>112</v>
      </c>
      <c r="P19" s="29">
        <v>1933.333333333333</v>
      </c>
      <c r="Q19" s="29">
        <v>0</v>
      </c>
      <c r="R19" s="29">
        <v>784</v>
      </c>
      <c r="S19" s="29">
        <v>553.5899999999999</v>
      </c>
      <c r="T19" s="29">
        <v>0</v>
      </c>
      <c r="U19" s="30">
        <v>212.9655555555557</v>
      </c>
    </row>
    <row r="20" spans="1:21" x14ac:dyDescent="0.25">
      <c r="A20" s="26">
        <v>17</v>
      </c>
      <c r="B20" s="26" t="s">
        <v>93</v>
      </c>
      <c r="C20" s="27" t="s">
        <v>56</v>
      </c>
      <c r="D20" s="26" t="s">
        <v>57</v>
      </c>
      <c r="E20" s="26" t="s">
        <v>56</v>
      </c>
      <c r="F20" s="28">
        <v>18</v>
      </c>
      <c r="G20" s="28">
        <v>17</v>
      </c>
      <c r="H20" s="28" t="s">
        <v>94</v>
      </c>
      <c r="I20" s="28" t="s">
        <v>94</v>
      </c>
      <c r="J20" s="27" t="s">
        <v>59</v>
      </c>
      <c r="K20" s="28" t="s">
        <v>60</v>
      </c>
      <c r="L20" s="28">
        <v>215</v>
      </c>
      <c r="M20" s="28" t="s">
        <v>95</v>
      </c>
      <c r="N20" s="28">
        <v>0</v>
      </c>
      <c r="O20" s="28">
        <v>55</v>
      </c>
      <c r="P20" s="29">
        <v>1200</v>
      </c>
      <c r="Q20" s="29">
        <v>0</v>
      </c>
      <c r="R20" s="29">
        <v>385</v>
      </c>
      <c r="S20" s="29">
        <v>734.23</v>
      </c>
      <c r="T20" s="29">
        <v>0</v>
      </c>
      <c r="U20" s="30">
        <v>0</v>
      </c>
    </row>
    <row r="21" spans="1:21" x14ac:dyDescent="0.25">
      <c r="A21" s="31"/>
      <c r="B21" s="31"/>
      <c r="C21" s="31" t="s">
        <v>96</v>
      </c>
      <c r="D21" s="32"/>
      <c r="E21" s="32"/>
      <c r="F21" s="32">
        <f>SUM(F4:F20)</f>
      </c>
      <c r="G21" s="32">
        <f>SUM(G4:G20)</f>
      </c>
      <c r="H21" s="32">
        <f>SUM(H4:H20)</f>
      </c>
      <c r="I21" s="32">
        <f>SUM(I4:I20)</f>
      </c>
      <c r="J21" s="32">
        <f>SUM(J4:J20)</f>
      </c>
      <c r="K21" s="32">
        <f>SUM(K4:K20)</f>
      </c>
      <c r="L21" s="32">
        <f>SUM(L4:L20)</f>
      </c>
      <c r="M21" s="32">
        <f>SUM(M4:M20)</f>
      </c>
      <c r="N21" s="32">
        <f>SUM(N4:N20)</f>
      </c>
      <c r="O21" s="33">
        <f>SUM(O4:O20)</f>
      </c>
      <c r="P21" s="33">
        <f>SUM(P4:P20)</f>
      </c>
      <c r="Q21" s="33">
        <f>SUM(Q4:Q20)</f>
      </c>
      <c r="R21" s="33">
        <f>SUM(R4:R20)</f>
      </c>
      <c r="S21" s="33">
        <f>SUM(S4:S20)</f>
      </c>
      <c r="T21" s="33">
        <f>SUM(T4:T20)</f>
      </c>
      <c r="U21" s="33">
        <f>SUM(U4:U20)</f>
      </c>
    </row>
  </sheetData>
  <autoFilter ref="A3:U20"/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R2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6" width="14" customWidth="1"/>
    <col min="7" max="16" width="12" customWidth="1"/>
    <col min="17" max="17" width="14" customWidth="1"/>
    <col min="18" max="18" width="16" customWidth="1"/>
  </cols>
  <sheetData>
    <row r="1" spans="1:18" x14ac:dyDescent="0.25">
      <c r="A1" s="34" t="s">
        <v>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3" ht="30" customHeight="1" spans="1:18" x14ac:dyDescent="0.25">
      <c r="A3" s="35" t="s">
        <v>37</v>
      </c>
      <c r="B3" s="35" t="s">
        <v>38</v>
      </c>
      <c r="C3" s="35" t="s">
        <v>39</v>
      </c>
      <c r="D3" s="35" t="s">
        <v>98</v>
      </c>
      <c r="E3" s="35" t="s">
        <v>99</v>
      </c>
      <c r="F3" s="35" t="s">
        <v>100</v>
      </c>
      <c r="G3" s="35" t="s">
        <v>101</v>
      </c>
      <c r="H3" s="35" t="s">
        <v>102</v>
      </c>
      <c r="I3" s="35" t="s">
        <v>103</v>
      </c>
      <c r="J3" s="35" t="s">
        <v>104</v>
      </c>
      <c r="K3" s="35" t="s">
        <v>105</v>
      </c>
      <c r="L3" s="35" t="s">
        <v>106</v>
      </c>
      <c r="M3" s="35" t="s">
        <v>107</v>
      </c>
      <c r="N3" s="35" t="s">
        <v>108</v>
      </c>
      <c r="O3" s="35" t="s">
        <v>109</v>
      </c>
      <c r="P3" s="35" t="s">
        <v>110</v>
      </c>
      <c r="Q3" s="35" t="s">
        <v>111</v>
      </c>
      <c r="R3" s="35" t="s">
        <v>4</v>
      </c>
    </row>
    <row r="4" spans="1:18" x14ac:dyDescent="0.25">
      <c r="A4" s="26">
        <v>1</v>
      </c>
      <c r="B4" s="26" t="s">
        <v>73</v>
      </c>
      <c r="C4" s="27" t="s">
        <v>56</v>
      </c>
      <c r="D4" s="29">
        <v>3624</v>
      </c>
      <c r="E4" s="29">
        <v>2953.80144999999</v>
      </c>
      <c r="F4" s="29">
        <v>792.75</v>
      </c>
      <c r="G4" s="36">
        <v>0</v>
      </c>
      <c r="H4" s="36">
        <v>0</v>
      </c>
      <c r="I4" s="36">
        <v>112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385.87</v>
      </c>
      <c r="Q4" s="37">
        <v>497.87</v>
      </c>
      <c r="R4" s="30">
        <v>6872.68144999999</v>
      </c>
    </row>
    <row r="5" spans="1:18" x14ac:dyDescent="0.25">
      <c r="A5" s="26">
        <v>2</v>
      </c>
      <c r="B5" s="26" t="s">
        <v>80</v>
      </c>
      <c r="C5" s="27" t="s">
        <v>56</v>
      </c>
      <c r="D5" s="29">
        <v>3440</v>
      </c>
      <c r="E5" s="29">
        <v>3039.47185</v>
      </c>
      <c r="F5" s="29">
        <v>537.5</v>
      </c>
      <c r="G5" s="36">
        <v>0</v>
      </c>
      <c r="H5" s="36">
        <v>0</v>
      </c>
      <c r="I5" s="36">
        <v>132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128.3</v>
      </c>
      <c r="Q5" s="37">
        <v>260.3</v>
      </c>
      <c r="R5" s="30">
        <v>6756.67185</v>
      </c>
    </row>
    <row r="6" spans="1:18" x14ac:dyDescent="0.25">
      <c r="A6" s="26">
        <v>3</v>
      </c>
      <c r="B6" s="26" t="s">
        <v>64</v>
      </c>
      <c r="C6" s="27" t="s">
        <v>56</v>
      </c>
      <c r="D6" s="29">
        <v>4416</v>
      </c>
      <c r="E6" s="29">
        <v>3851.16599999999</v>
      </c>
      <c r="F6" s="29">
        <v>966</v>
      </c>
      <c r="G6" s="36">
        <v>0</v>
      </c>
      <c r="H6" s="36">
        <v>0</v>
      </c>
      <c r="I6" s="36">
        <v>196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558.98</v>
      </c>
      <c r="Q6" s="37">
        <v>754.98</v>
      </c>
      <c r="R6" s="30">
        <v>8478.18599999999</v>
      </c>
    </row>
    <row r="7" spans="1:18" x14ac:dyDescent="0.25">
      <c r="A7" s="26">
        <v>4</v>
      </c>
      <c r="B7" s="26" t="s">
        <v>78</v>
      </c>
      <c r="C7" s="27" t="s">
        <v>56</v>
      </c>
      <c r="D7" s="29">
        <v>3608</v>
      </c>
      <c r="E7" s="29">
        <v>2646.94234999999</v>
      </c>
      <c r="F7" s="29">
        <v>789.25</v>
      </c>
      <c r="G7" s="36">
        <v>0</v>
      </c>
      <c r="H7" s="36">
        <v>0</v>
      </c>
      <c r="I7" s="36">
        <v>152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295.12</v>
      </c>
      <c r="Q7" s="37">
        <v>447.12</v>
      </c>
      <c r="R7" s="30">
        <v>6597.07234999999</v>
      </c>
    </row>
    <row r="8" spans="1:18" x14ac:dyDescent="0.25">
      <c r="A8" s="26">
        <v>5</v>
      </c>
      <c r="B8" s="26" t="s">
        <v>55</v>
      </c>
      <c r="C8" s="27" t="s">
        <v>56</v>
      </c>
      <c r="D8" s="29">
        <v>4576</v>
      </c>
      <c r="E8" s="29">
        <v>3885.1945</v>
      </c>
      <c r="F8" s="29">
        <v>1001</v>
      </c>
      <c r="G8" s="36">
        <v>0</v>
      </c>
      <c r="H8" s="36">
        <v>0</v>
      </c>
      <c r="I8" s="36">
        <v>188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348.77</v>
      </c>
      <c r="Q8" s="37">
        <v>536.77</v>
      </c>
      <c r="R8" s="30">
        <v>8925.4245</v>
      </c>
    </row>
    <row r="9" spans="1:18" x14ac:dyDescent="0.25">
      <c r="A9" s="26">
        <v>6</v>
      </c>
      <c r="B9" s="26" t="s">
        <v>70</v>
      </c>
      <c r="C9" s="27" t="s">
        <v>56</v>
      </c>
      <c r="D9" s="29">
        <v>3872</v>
      </c>
      <c r="E9" s="29">
        <v>2480.42695</v>
      </c>
      <c r="F9" s="29">
        <v>605</v>
      </c>
      <c r="G9" s="36">
        <v>0</v>
      </c>
      <c r="H9" s="36">
        <v>0</v>
      </c>
      <c r="I9" s="36">
        <v>148</v>
      </c>
      <c r="J9" s="36">
        <v>50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436.2</v>
      </c>
      <c r="Q9" s="37">
        <v>634.2</v>
      </c>
      <c r="R9" s="30">
        <v>6323.22695</v>
      </c>
    </row>
    <row r="10" spans="1:18" x14ac:dyDescent="0.25">
      <c r="A10" s="26">
        <v>7</v>
      </c>
      <c r="B10" s="26" t="s">
        <v>89</v>
      </c>
      <c r="C10" s="27" t="s">
        <v>56</v>
      </c>
      <c r="D10" s="29">
        <v>2070</v>
      </c>
      <c r="E10" s="29">
        <v>1592.7642</v>
      </c>
      <c r="F10" s="29">
        <v>258.75</v>
      </c>
      <c r="G10" s="36">
        <v>0</v>
      </c>
      <c r="H10" s="36">
        <v>0</v>
      </c>
      <c r="I10" s="36">
        <v>152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364.33</v>
      </c>
      <c r="Q10" s="37">
        <v>516.3299999999999</v>
      </c>
      <c r="R10" s="30">
        <v>3405.1842</v>
      </c>
    </row>
    <row r="11" spans="1:18" x14ac:dyDescent="0.25">
      <c r="A11" s="26">
        <v>8</v>
      </c>
      <c r="B11" s="26" t="s">
        <v>68</v>
      </c>
      <c r="C11" s="27" t="s">
        <v>56</v>
      </c>
      <c r="D11" s="29">
        <v>3720</v>
      </c>
      <c r="E11" s="29">
        <v>3159.47319999999</v>
      </c>
      <c r="F11" s="29">
        <v>813.75</v>
      </c>
      <c r="G11" s="36">
        <v>0</v>
      </c>
      <c r="H11" s="36">
        <v>0</v>
      </c>
      <c r="I11" s="36">
        <v>116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178.68</v>
      </c>
      <c r="Q11" s="37">
        <v>294.68</v>
      </c>
      <c r="R11" s="30">
        <v>7398.543199999989</v>
      </c>
    </row>
    <row r="12" spans="1:18" x14ac:dyDescent="0.25">
      <c r="A12" s="26">
        <v>9</v>
      </c>
      <c r="B12" s="26" t="s">
        <v>62</v>
      </c>
      <c r="C12" s="27" t="s">
        <v>56</v>
      </c>
      <c r="D12" s="29">
        <v>4120</v>
      </c>
      <c r="E12" s="29">
        <v>3268.7715</v>
      </c>
      <c r="F12" s="29">
        <v>643.75</v>
      </c>
      <c r="G12" s="36">
        <v>0</v>
      </c>
      <c r="H12" s="36">
        <v>0</v>
      </c>
      <c r="I12" s="36">
        <v>112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230.88</v>
      </c>
      <c r="Q12" s="37">
        <v>342.88</v>
      </c>
      <c r="R12" s="30">
        <v>7689.6415</v>
      </c>
    </row>
    <row r="13" spans="1:18" x14ac:dyDescent="0.25">
      <c r="A13" s="26">
        <v>10</v>
      </c>
      <c r="B13" s="26" t="s">
        <v>72</v>
      </c>
      <c r="C13" s="27" t="s">
        <v>56</v>
      </c>
      <c r="D13" s="29">
        <v>3616</v>
      </c>
      <c r="E13" s="29">
        <v>2891.25409999999</v>
      </c>
      <c r="F13" s="29">
        <v>791</v>
      </c>
      <c r="G13" s="36">
        <v>0</v>
      </c>
      <c r="H13" s="36">
        <v>0</v>
      </c>
      <c r="I13" s="36">
        <v>128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266.64</v>
      </c>
      <c r="Q13" s="37">
        <v>394.64</v>
      </c>
      <c r="R13" s="30">
        <v>6903.61409999999</v>
      </c>
    </row>
    <row r="14" spans="1:18" x14ac:dyDescent="0.25">
      <c r="A14" s="26">
        <v>11</v>
      </c>
      <c r="B14" s="26" t="s">
        <v>66</v>
      </c>
      <c r="C14" s="27" t="s">
        <v>56</v>
      </c>
      <c r="D14" s="29">
        <v>4120</v>
      </c>
      <c r="E14" s="29">
        <v>3290.9067</v>
      </c>
      <c r="F14" s="29">
        <v>386.25</v>
      </c>
      <c r="G14" s="36">
        <v>0</v>
      </c>
      <c r="H14" s="36">
        <v>0</v>
      </c>
      <c r="I14" s="36">
        <v>132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457.5</v>
      </c>
      <c r="Q14" s="37">
        <v>589.5</v>
      </c>
      <c r="R14" s="30">
        <v>7207.6567</v>
      </c>
    </row>
    <row r="15" spans="1:18" x14ac:dyDescent="0.25">
      <c r="A15" s="26">
        <v>12</v>
      </c>
      <c r="B15" s="26" t="s">
        <v>82</v>
      </c>
      <c r="C15" s="27" t="s">
        <v>56</v>
      </c>
      <c r="D15" s="29">
        <v>3256</v>
      </c>
      <c r="E15" s="29">
        <v>2923.85774999999</v>
      </c>
      <c r="F15" s="29">
        <v>305.25</v>
      </c>
      <c r="G15" s="36">
        <v>0</v>
      </c>
      <c r="H15" s="36">
        <v>0</v>
      </c>
      <c r="I15" s="36">
        <v>124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282.2</v>
      </c>
      <c r="Q15" s="37">
        <v>406.2</v>
      </c>
      <c r="R15" s="30">
        <v>6078.90774999999</v>
      </c>
    </row>
    <row r="16" spans="1:18" x14ac:dyDescent="0.25">
      <c r="A16" s="26">
        <v>13</v>
      </c>
      <c r="B16" s="26" t="s">
        <v>84</v>
      </c>
      <c r="C16" s="27" t="s">
        <v>56</v>
      </c>
      <c r="D16" s="29">
        <v>3288</v>
      </c>
      <c r="E16" s="29">
        <v>2544.41065</v>
      </c>
      <c r="F16" s="29">
        <v>308.25</v>
      </c>
      <c r="G16" s="36">
        <v>0</v>
      </c>
      <c r="H16" s="36">
        <v>0</v>
      </c>
      <c r="I16" s="36">
        <v>140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230.73</v>
      </c>
      <c r="Q16" s="37">
        <v>370.73</v>
      </c>
      <c r="R16" s="30">
        <v>5769.93065</v>
      </c>
    </row>
    <row r="17" spans="1:18" x14ac:dyDescent="0.25">
      <c r="A17" s="26">
        <v>14</v>
      </c>
      <c r="B17" s="26" t="s">
        <v>76</v>
      </c>
      <c r="C17" s="27" t="s">
        <v>56</v>
      </c>
      <c r="D17" s="29">
        <v>3704</v>
      </c>
      <c r="E17" s="29">
        <v>3048.79375</v>
      </c>
      <c r="F17" s="29">
        <v>578.75</v>
      </c>
      <c r="G17" s="36">
        <v>0</v>
      </c>
      <c r="H17" s="36">
        <v>0</v>
      </c>
      <c r="I17" s="36">
        <v>136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404.69</v>
      </c>
      <c r="Q17" s="37">
        <v>540.69</v>
      </c>
      <c r="R17" s="30">
        <v>6790.85375</v>
      </c>
    </row>
    <row r="18" spans="1:18" x14ac:dyDescent="0.25">
      <c r="A18" s="26">
        <v>15</v>
      </c>
      <c r="B18" s="26" t="s">
        <v>91</v>
      </c>
      <c r="C18" s="27" t="s">
        <v>56</v>
      </c>
      <c r="D18" s="29">
        <v>1938</v>
      </c>
      <c r="E18" s="29">
        <v>1813.54949999999</v>
      </c>
      <c r="F18" s="29">
        <v>242.25</v>
      </c>
      <c r="G18" s="36">
        <v>0</v>
      </c>
      <c r="H18" s="36">
        <v>0</v>
      </c>
      <c r="I18" s="36">
        <v>108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445.59</v>
      </c>
      <c r="Q18" s="37">
        <v>553.5899999999999</v>
      </c>
      <c r="R18" s="30">
        <v>3440.20949999999</v>
      </c>
    </row>
    <row r="19" spans="1:18" x14ac:dyDescent="0.25">
      <c r="A19" s="26">
        <v>16</v>
      </c>
      <c r="B19" s="26" t="s">
        <v>93</v>
      </c>
      <c r="C19" s="27" t="s">
        <v>56</v>
      </c>
      <c r="D19" s="29">
        <v>1720</v>
      </c>
      <c r="E19" s="29">
        <v>1347.33309999999</v>
      </c>
      <c r="F19" s="29">
        <v>268.75</v>
      </c>
      <c r="G19" s="36">
        <v>0</v>
      </c>
      <c r="H19" s="36">
        <v>0</v>
      </c>
      <c r="I19" s="36">
        <v>64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500</v>
      </c>
      <c r="P19" s="36">
        <v>170.23</v>
      </c>
      <c r="Q19" s="37">
        <v>734.23</v>
      </c>
      <c r="R19" s="30">
        <v>2601.85309999999</v>
      </c>
    </row>
    <row r="20" spans="1:18" x14ac:dyDescent="0.25">
      <c r="A20" s="26">
        <v>17</v>
      </c>
      <c r="B20" s="26" t="s">
        <v>86</v>
      </c>
      <c r="C20" s="27" t="s">
        <v>56</v>
      </c>
      <c r="D20" s="29">
        <v>1632</v>
      </c>
      <c r="E20" s="29">
        <v>1490.28155</v>
      </c>
      <c r="F20" s="29">
        <v>357</v>
      </c>
      <c r="G20" s="36">
        <v>0</v>
      </c>
      <c r="H20" s="36">
        <v>0</v>
      </c>
      <c r="I20" s="36">
        <v>64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337.36</v>
      </c>
      <c r="Q20" s="37">
        <v>401.36</v>
      </c>
      <c r="R20" s="30">
        <v>3077.9215499999996</v>
      </c>
    </row>
    <row r="21" spans="3:18" x14ac:dyDescent="0.25">
      <c r="C21" t="s">
        <v>96</v>
      </c>
      <c r="D21" s="38">
        <f>SUM(D4:D20)</f>
      </c>
      <c r="E21" s="38">
        <f>SUM(E4:E20)</f>
      </c>
      <c r="F21" s="38">
        <f>SUM(F4:F20)</f>
      </c>
      <c r="G21" s="38">
        <f>SUM(G4:G20)</f>
      </c>
      <c r="H21" s="38">
        <f>SUM(H4:H20)</f>
      </c>
      <c r="I21" s="38">
        <f>SUM(I4:I20)</f>
      </c>
      <c r="J21" s="38">
        <f>SUM(J4:J20)</f>
      </c>
      <c r="K21" s="38">
        <f>SUM(K4:K20)</f>
      </c>
      <c r="L21" s="38">
        <f>SUM(L4:L20)</f>
      </c>
      <c r="M21" s="38">
        <f>SUM(M4:M20)</f>
      </c>
      <c r="N21" s="38">
        <f>SUM(N4:N20)</f>
      </c>
      <c r="O21" s="38">
        <f>SUM(O4:O20)</f>
      </c>
      <c r="P21" s="38">
        <f>SUM(P4:P20)</f>
      </c>
      <c r="Q21" s="38">
        <f>SUM(Q4:Q20)</f>
      </c>
      <c r="R21" s="38">
        <f>SUM(R4:R20)</f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K2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10" width="14" customWidth="1"/>
    <col min="11" max="11" width="16" customWidth="1"/>
  </cols>
  <sheetData>
    <row r="1" spans="1:11" x14ac:dyDescent="0.25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ht="30" customHeight="1" spans="1:11" x14ac:dyDescent="0.25">
      <c r="A3" s="40" t="s">
        <v>38</v>
      </c>
      <c r="B3" s="40" t="s">
        <v>39</v>
      </c>
      <c r="C3" s="40" t="s">
        <v>21</v>
      </c>
      <c r="D3" s="40" t="s">
        <v>23</v>
      </c>
      <c r="E3" s="40" t="s">
        <v>25</v>
      </c>
      <c r="F3" s="40" t="s">
        <v>27</v>
      </c>
      <c r="G3" s="40" t="s">
        <v>29</v>
      </c>
      <c r="H3" s="40" t="s">
        <v>31</v>
      </c>
      <c r="I3" s="40" t="s">
        <v>32</v>
      </c>
      <c r="J3" s="40" t="s">
        <v>33</v>
      </c>
      <c r="K3" s="40" t="s">
        <v>5</v>
      </c>
    </row>
    <row r="4" spans="1:11" x14ac:dyDescent="0.25">
      <c r="A4" s="41" t="s">
        <v>73</v>
      </c>
      <c r="B4" s="42" t="s">
        <v>56</v>
      </c>
      <c r="C4" s="43">
        <v>1058.8235294117646</v>
      </c>
      <c r="D4" s="43">
        <v>758.8235294117648</v>
      </c>
      <c r="E4" s="43">
        <v>705.8823529411765</v>
      </c>
      <c r="F4" s="43">
        <v>1500</v>
      </c>
      <c r="G4" s="43">
        <v>1200</v>
      </c>
      <c r="H4" s="43">
        <v>58.8235294117647</v>
      </c>
      <c r="I4" s="43">
        <v>1000</v>
      </c>
      <c r="J4" s="43">
        <v>115</v>
      </c>
      <c r="K4" s="44">
        <v>6397.35294117647</v>
      </c>
    </row>
    <row r="5" spans="1:11" x14ac:dyDescent="0.25">
      <c r="A5" s="41" t="s">
        <v>80</v>
      </c>
      <c r="B5" s="42" t="s">
        <v>56</v>
      </c>
      <c r="C5" s="43">
        <v>1058.8235294117646</v>
      </c>
      <c r="D5" s="43">
        <v>758.8235294117648</v>
      </c>
      <c r="E5" s="43">
        <v>705.8823529411765</v>
      </c>
      <c r="F5" s="43">
        <v>1500</v>
      </c>
      <c r="G5" s="43">
        <v>1200</v>
      </c>
      <c r="H5" s="43">
        <v>58.8235294117647</v>
      </c>
      <c r="I5" s="43">
        <v>1000</v>
      </c>
      <c r="J5" s="43">
        <v>115</v>
      </c>
      <c r="K5" s="44">
        <v>6397.35294117647</v>
      </c>
    </row>
    <row r="6" spans="1:11" x14ac:dyDescent="0.25">
      <c r="A6" s="41" t="s">
        <v>64</v>
      </c>
      <c r="B6" s="42" t="s">
        <v>56</v>
      </c>
      <c r="C6" s="43">
        <v>1058.8235294117646</v>
      </c>
      <c r="D6" s="43">
        <v>758.8235294117648</v>
      </c>
      <c r="E6" s="43">
        <v>705.8823529411765</v>
      </c>
      <c r="F6" s="43">
        <v>1500</v>
      </c>
      <c r="G6" s="43">
        <v>1200</v>
      </c>
      <c r="H6" s="43">
        <v>58.8235294117647</v>
      </c>
      <c r="I6" s="43">
        <v>1000</v>
      </c>
      <c r="J6" s="43">
        <v>115</v>
      </c>
      <c r="K6" s="44">
        <v>6397.35294117647</v>
      </c>
    </row>
    <row r="7" spans="1:11" x14ac:dyDescent="0.25">
      <c r="A7" s="41" t="s">
        <v>78</v>
      </c>
      <c r="B7" s="42" t="s">
        <v>56</v>
      </c>
      <c r="C7" s="43">
        <v>1058.8235294117646</v>
      </c>
      <c r="D7" s="43">
        <v>758.8235294117648</v>
      </c>
      <c r="E7" s="43">
        <v>705.8823529411765</v>
      </c>
      <c r="F7" s="43">
        <v>1500</v>
      </c>
      <c r="G7" s="43">
        <v>1200</v>
      </c>
      <c r="H7" s="43">
        <v>58.8235294117647</v>
      </c>
      <c r="I7" s="43">
        <v>1000</v>
      </c>
      <c r="J7" s="43">
        <v>115</v>
      </c>
      <c r="K7" s="44">
        <v>6397.35294117647</v>
      </c>
    </row>
    <row r="8" spans="1:11" x14ac:dyDescent="0.25">
      <c r="A8" s="41" t="s">
        <v>55</v>
      </c>
      <c r="B8" s="42" t="s">
        <v>56</v>
      </c>
      <c r="C8" s="43">
        <v>1058.8235294117646</v>
      </c>
      <c r="D8" s="43">
        <v>758.8235294117648</v>
      </c>
      <c r="E8" s="43">
        <v>705.8823529411765</v>
      </c>
      <c r="F8" s="43">
        <v>1500</v>
      </c>
      <c r="G8" s="43">
        <v>1200</v>
      </c>
      <c r="H8" s="43">
        <v>58.8235294117647</v>
      </c>
      <c r="I8" s="43">
        <v>1000</v>
      </c>
      <c r="J8" s="43">
        <v>115</v>
      </c>
      <c r="K8" s="44">
        <v>6397.35294117647</v>
      </c>
    </row>
    <row r="9" spans="1:11" x14ac:dyDescent="0.25">
      <c r="A9" s="41" t="s">
        <v>70</v>
      </c>
      <c r="B9" s="42" t="s">
        <v>56</v>
      </c>
      <c r="C9" s="43">
        <v>1058.8235294117646</v>
      </c>
      <c r="D9" s="43">
        <v>758.8235294117648</v>
      </c>
      <c r="E9" s="43">
        <v>705.8823529411765</v>
      </c>
      <c r="F9" s="43">
        <v>1500</v>
      </c>
      <c r="G9" s="43">
        <v>1200</v>
      </c>
      <c r="H9" s="43">
        <v>58.8235294117647</v>
      </c>
      <c r="I9" s="43">
        <v>1000</v>
      </c>
      <c r="J9" s="43">
        <v>115</v>
      </c>
      <c r="K9" s="44">
        <v>6397.35294117647</v>
      </c>
    </row>
    <row r="10" spans="1:11" x14ac:dyDescent="0.25">
      <c r="A10" s="41" t="s">
        <v>89</v>
      </c>
      <c r="B10" s="42" t="s">
        <v>56</v>
      </c>
      <c r="C10" s="43">
        <v>1058.8235294117646</v>
      </c>
      <c r="D10" s="43">
        <v>758.8235294117648</v>
      </c>
      <c r="E10" s="43">
        <v>705.8823529411765</v>
      </c>
      <c r="F10" s="43">
        <v>1500</v>
      </c>
      <c r="G10" s="43">
        <v>1200</v>
      </c>
      <c r="H10" s="43">
        <v>58.8235294117647</v>
      </c>
      <c r="I10" s="43">
        <v>1000</v>
      </c>
      <c r="J10" s="43">
        <v>115</v>
      </c>
      <c r="K10" s="44">
        <v>6397.35294117647</v>
      </c>
    </row>
    <row r="11" spans="1:11" x14ac:dyDescent="0.25">
      <c r="A11" s="41" t="s">
        <v>68</v>
      </c>
      <c r="B11" s="42" t="s">
        <v>56</v>
      </c>
      <c r="C11" s="43">
        <v>1058.8235294117646</v>
      </c>
      <c r="D11" s="43">
        <v>758.8235294117648</v>
      </c>
      <c r="E11" s="43">
        <v>705.8823529411765</v>
      </c>
      <c r="F11" s="43">
        <v>1500</v>
      </c>
      <c r="G11" s="43">
        <v>1200</v>
      </c>
      <c r="H11" s="43">
        <v>58.8235294117647</v>
      </c>
      <c r="I11" s="43">
        <v>1000</v>
      </c>
      <c r="J11" s="43">
        <v>115</v>
      </c>
      <c r="K11" s="44">
        <v>6397.35294117647</v>
      </c>
    </row>
    <row r="12" spans="1:11" x14ac:dyDescent="0.25">
      <c r="A12" s="41" t="s">
        <v>62</v>
      </c>
      <c r="B12" s="42" t="s">
        <v>56</v>
      </c>
      <c r="C12" s="43">
        <v>1058.8235294117646</v>
      </c>
      <c r="D12" s="43">
        <v>758.8235294117648</v>
      </c>
      <c r="E12" s="43">
        <v>705.8823529411765</v>
      </c>
      <c r="F12" s="43">
        <v>1500</v>
      </c>
      <c r="G12" s="43">
        <v>1200</v>
      </c>
      <c r="H12" s="43">
        <v>58.8235294117647</v>
      </c>
      <c r="I12" s="43">
        <v>1000</v>
      </c>
      <c r="J12" s="43">
        <v>115</v>
      </c>
      <c r="K12" s="44">
        <v>6397.35294117647</v>
      </c>
    </row>
    <row r="13" spans="1:11" x14ac:dyDescent="0.25">
      <c r="A13" s="41" t="s">
        <v>72</v>
      </c>
      <c r="B13" s="42" t="s">
        <v>56</v>
      </c>
      <c r="C13" s="43">
        <v>1058.8235294117646</v>
      </c>
      <c r="D13" s="43">
        <v>758.8235294117648</v>
      </c>
      <c r="E13" s="43">
        <v>705.8823529411765</v>
      </c>
      <c r="F13" s="43">
        <v>1500</v>
      </c>
      <c r="G13" s="43">
        <v>1200</v>
      </c>
      <c r="H13" s="43">
        <v>58.8235294117647</v>
      </c>
      <c r="I13" s="43">
        <v>1000</v>
      </c>
      <c r="J13" s="43">
        <v>115</v>
      </c>
      <c r="K13" s="44">
        <v>6397.35294117647</v>
      </c>
    </row>
    <row r="14" spans="1:11" x14ac:dyDescent="0.25">
      <c r="A14" s="41" t="s">
        <v>66</v>
      </c>
      <c r="B14" s="42" t="s">
        <v>56</v>
      </c>
      <c r="C14" s="43">
        <v>1058.8235294117646</v>
      </c>
      <c r="D14" s="43">
        <v>758.8235294117648</v>
      </c>
      <c r="E14" s="43">
        <v>705.8823529411765</v>
      </c>
      <c r="F14" s="43">
        <v>1500</v>
      </c>
      <c r="G14" s="43">
        <v>1200</v>
      </c>
      <c r="H14" s="43">
        <v>58.8235294117647</v>
      </c>
      <c r="I14" s="43">
        <v>1000</v>
      </c>
      <c r="J14" s="43">
        <v>115</v>
      </c>
      <c r="K14" s="44">
        <v>6397.35294117647</v>
      </c>
    </row>
    <row r="15" spans="1:11" x14ac:dyDescent="0.25">
      <c r="A15" s="41" t="s">
        <v>82</v>
      </c>
      <c r="B15" s="42" t="s">
        <v>56</v>
      </c>
      <c r="C15" s="43">
        <v>1058.8235294117646</v>
      </c>
      <c r="D15" s="43">
        <v>758.8235294117648</v>
      </c>
      <c r="E15" s="43">
        <v>705.8823529411765</v>
      </c>
      <c r="F15" s="43">
        <v>1500</v>
      </c>
      <c r="G15" s="43">
        <v>1200</v>
      </c>
      <c r="H15" s="43">
        <v>58.8235294117647</v>
      </c>
      <c r="I15" s="43">
        <v>1000</v>
      </c>
      <c r="J15" s="43">
        <v>115</v>
      </c>
      <c r="K15" s="44">
        <v>6397.35294117647</v>
      </c>
    </row>
    <row r="16" spans="1:11" x14ac:dyDescent="0.25">
      <c r="A16" s="41" t="s">
        <v>84</v>
      </c>
      <c r="B16" s="42" t="s">
        <v>56</v>
      </c>
      <c r="C16" s="43">
        <v>1058.8235294117646</v>
      </c>
      <c r="D16" s="43">
        <v>758.8235294117648</v>
      </c>
      <c r="E16" s="43">
        <v>705.8823529411765</v>
      </c>
      <c r="F16" s="43">
        <v>1500</v>
      </c>
      <c r="G16" s="43">
        <v>1200</v>
      </c>
      <c r="H16" s="43">
        <v>58.8235294117647</v>
      </c>
      <c r="I16" s="43">
        <v>1000</v>
      </c>
      <c r="J16" s="43">
        <v>115</v>
      </c>
      <c r="K16" s="44">
        <v>6397.35294117647</v>
      </c>
    </row>
    <row r="17" spans="1:11" x14ac:dyDescent="0.25">
      <c r="A17" s="41" t="s">
        <v>76</v>
      </c>
      <c r="B17" s="42" t="s">
        <v>56</v>
      </c>
      <c r="C17" s="43">
        <v>1058.8235294117646</v>
      </c>
      <c r="D17" s="43">
        <v>758.8235294117648</v>
      </c>
      <c r="E17" s="43">
        <v>705.8823529411765</v>
      </c>
      <c r="F17" s="43">
        <v>1500</v>
      </c>
      <c r="G17" s="43">
        <v>1200</v>
      </c>
      <c r="H17" s="43">
        <v>58.8235294117647</v>
      </c>
      <c r="I17" s="43">
        <v>1000</v>
      </c>
      <c r="J17" s="43">
        <v>115</v>
      </c>
      <c r="K17" s="44">
        <v>6397.35294117647</v>
      </c>
    </row>
    <row r="18" spans="1:11" x14ac:dyDescent="0.25">
      <c r="A18" s="41" t="s">
        <v>91</v>
      </c>
      <c r="B18" s="42" t="s">
        <v>56</v>
      </c>
      <c r="C18" s="43">
        <v>1058.8235294117646</v>
      </c>
      <c r="D18" s="43">
        <v>758.8235294117648</v>
      </c>
      <c r="E18" s="43">
        <v>705.8823529411765</v>
      </c>
      <c r="F18" s="43">
        <v>1500</v>
      </c>
      <c r="G18" s="43">
        <v>1200</v>
      </c>
      <c r="H18" s="43">
        <v>58.8235294117647</v>
      </c>
      <c r="I18" s="43">
        <v>1000</v>
      </c>
      <c r="J18" s="43">
        <v>115</v>
      </c>
      <c r="K18" s="44">
        <v>6397.35294117647</v>
      </c>
    </row>
    <row r="19" spans="1:11" x14ac:dyDescent="0.25">
      <c r="A19" s="41" t="s">
        <v>93</v>
      </c>
      <c r="B19" s="42" t="s">
        <v>56</v>
      </c>
      <c r="C19" s="43">
        <v>1058.8235294117646</v>
      </c>
      <c r="D19" s="43">
        <v>758.8235294117648</v>
      </c>
      <c r="E19" s="43">
        <v>705.8823529411765</v>
      </c>
      <c r="F19" s="43">
        <v>1500</v>
      </c>
      <c r="G19" s="43">
        <v>1200</v>
      </c>
      <c r="H19" s="43">
        <v>58.8235294117647</v>
      </c>
      <c r="I19" s="43">
        <v>1000</v>
      </c>
      <c r="J19" s="43">
        <v>115</v>
      </c>
      <c r="K19" s="44">
        <v>6397.35294117647</v>
      </c>
    </row>
    <row r="20" spans="1:11" x14ac:dyDescent="0.25">
      <c r="A20" s="41" t="s">
        <v>86</v>
      </c>
      <c r="B20" s="42" t="s">
        <v>56</v>
      </c>
      <c r="C20" s="43">
        <v>1058.8235294117646</v>
      </c>
      <c r="D20" s="43">
        <v>758.8235294117648</v>
      </c>
      <c r="E20" s="43">
        <v>705.8823529411765</v>
      </c>
      <c r="F20" s="43">
        <v>1500</v>
      </c>
      <c r="G20" s="43">
        <v>1200</v>
      </c>
      <c r="H20" s="43">
        <v>58.8235294117647</v>
      </c>
      <c r="I20" s="43">
        <v>1000</v>
      </c>
      <c r="J20" s="43">
        <v>115</v>
      </c>
      <c r="K20" s="44">
        <v>6397.35294117647</v>
      </c>
    </row>
    <row r="21" spans="1:11" x14ac:dyDescent="0.25">
      <c r="A21" s="45"/>
      <c r="B21" s="45" t="s">
        <v>96</v>
      </c>
      <c r="C21" s="46">
        <f>SUM(C4:C20)</f>
      </c>
      <c r="D21" s="46">
        <f>SUM(D4:D20)</f>
      </c>
      <c r="E21" s="46">
        <f>SUM(E4:E20)</f>
      </c>
      <c r="F21" s="46">
        <f>SUM(F4:F20)</f>
      </c>
      <c r="G21" s="46">
        <f>SUM(G4:G20)</f>
      </c>
      <c r="H21" s="46">
        <f>SUM(H4:H20)</f>
      </c>
      <c r="I21" s="46">
        <f>SUM(I4:I20)</f>
      </c>
      <c r="J21" s="46">
        <f>SUM(J4:J20)</f>
      </c>
      <c r="K21" s="46">
        <f>SUM(K4:K20)</f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H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8" width="16" customWidth="1"/>
  </cols>
  <sheetData>
    <row r="1" spans="1:8" x14ac:dyDescent="0.25">
      <c r="A1" s="34" t="s">
        <v>113</v>
      </c>
      <c r="B1" s="34"/>
      <c r="C1" s="34"/>
      <c r="D1" s="34"/>
      <c r="E1" s="34"/>
      <c r="F1" s="34"/>
      <c r="G1" s="34"/>
      <c r="H1" s="34"/>
    </row>
    <row r="3" spans="1:8" x14ac:dyDescent="0.25">
      <c r="A3" s="47" t="s">
        <v>37</v>
      </c>
      <c r="B3" s="47" t="s">
        <v>38</v>
      </c>
      <c r="C3" s="47" t="s">
        <v>39</v>
      </c>
      <c r="D3" s="47" t="s">
        <v>4</v>
      </c>
      <c r="E3" s="47" t="s">
        <v>114</v>
      </c>
      <c r="F3" s="47" t="s">
        <v>115</v>
      </c>
      <c r="G3" s="47" t="s">
        <v>116</v>
      </c>
      <c r="H3" s="47" t="s">
        <v>6</v>
      </c>
    </row>
    <row r="4" spans="1:8" x14ac:dyDescent="0.25">
      <c r="A4" s="48">
        <v>1</v>
      </c>
      <c r="B4" s="49" t="s">
        <v>55</v>
      </c>
      <c r="C4" s="49" t="s">
        <v>56</v>
      </c>
      <c r="D4" s="50">
        <v>8925.4245</v>
      </c>
      <c r="E4" s="50">
        <v>3815</v>
      </c>
      <c r="F4" s="50">
        <v>2582.3529411764707</v>
      </c>
      <c r="G4" s="50">
        <v>6397.35294117647</v>
      </c>
      <c r="H4" s="51">
        <v>2528.071558823529</v>
      </c>
    </row>
    <row r="5" spans="1:8" x14ac:dyDescent="0.25">
      <c r="A5" s="48">
        <v>2</v>
      </c>
      <c r="B5" s="49" t="s">
        <v>64</v>
      </c>
      <c r="C5" s="49" t="s">
        <v>56</v>
      </c>
      <c r="D5" s="50">
        <v>8478.18599999999</v>
      </c>
      <c r="E5" s="50">
        <v>3815</v>
      </c>
      <c r="F5" s="50">
        <v>2582.3529411764707</v>
      </c>
      <c r="G5" s="50">
        <v>6397.35294117647</v>
      </c>
      <c r="H5" s="51">
        <v>2080.8330588235203</v>
      </c>
    </row>
    <row r="6" spans="1:8" x14ac:dyDescent="0.25">
      <c r="A6" s="48">
        <v>3</v>
      </c>
      <c r="B6" s="49" t="s">
        <v>62</v>
      </c>
      <c r="C6" s="49" t="s">
        <v>56</v>
      </c>
      <c r="D6" s="50">
        <v>7689.6415</v>
      </c>
      <c r="E6" s="50">
        <v>3815</v>
      </c>
      <c r="F6" s="50">
        <v>2582.3529411764707</v>
      </c>
      <c r="G6" s="50">
        <v>6397.35294117647</v>
      </c>
      <c r="H6" s="51">
        <v>1292.2885588235295</v>
      </c>
    </row>
    <row r="7" spans="1:8" x14ac:dyDescent="0.25">
      <c r="A7" s="48">
        <v>4</v>
      </c>
      <c r="B7" s="49" t="s">
        <v>68</v>
      </c>
      <c r="C7" s="49" t="s">
        <v>56</v>
      </c>
      <c r="D7" s="50">
        <v>7398.543199999989</v>
      </c>
      <c r="E7" s="50">
        <v>3815</v>
      </c>
      <c r="F7" s="50">
        <v>2582.3529411764707</v>
      </c>
      <c r="G7" s="50">
        <v>6397.35294117647</v>
      </c>
      <c r="H7" s="51">
        <v>1001.1902588235189</v>
      </c>
    </row>
    <row r="8" spans="1:8" x14ac:dyDescent="0.25">
      <c r="A8" s="48">
        <v>5</v>
      </c>
      <c r="B8" s="49" t="s">
        <v>66</v>
      </c>
      <c r="C8" s="49" t="s">
        <v>56</v>
      </c>
      <c r="D8" s="50">
        <v>7207.6567</v>
      </c>
      <c r="E8" s="50">
        <v>3815</v>
      </c>
      <c r="F8" s="50">
        <v>2582.3529411764707</v>
      </c>
      <c r="G8" s="50">
        <v>6397.35294117647</v>
      </c>
      <c r="H8" s="51">
        <v>810.3037588235293</v>
      </c>
    </row>
    <row r="9" spans="1:8" x14ac:dyDescent="0.25">
      <c r="A9" s="48">
        <v>6</v>
      </c>
      <c r="B9" s="49" t="s">
        <v>72</v>
      </c>
      <c r="C9" s="49" t="s">
        <v>56</v>
      </c>
      <c r="D9" s="50">
        <v>6903.61409999999</v>
      </c>
      <c r="E9" s="50">
        <v>3815</v>
      </c>
      <c r="F9" s="50">
        <v>2582.3529411764707</v>
      </c>
      <c r="G9" s="50">
        <v>6397.35294117647</v>
      </c>
      <c r="H9" s="51">
        <v>506.2611588235195</v>
      </c>
    </row>
    <row r="10" spans="1:8" x14ac:dyDescent="0.25">
      <c r="A10" s="48">
        <v>7</v>
      </c>
      <c r="B10" s="49" t="s">
        <v>73</v>
      </c>
      <c r="C10" s="49" t="s">
        <v>56</v>
      </c>
      <c r="D10" s="50">
        <v>6872.68144999999</v>
      </c>
      <c r="E10" s="50">
        <v>3815</v>
      </c>
      <c r="F10" s="50">
        <v>2582.3529411764707</v>
      </c>
      <c r="G10" s="50">
        <v>6397.35294117647</v>
      </c>
      <c r="H10" s="51">
        <v>475.32850882351977</v>
      </c>
    </row>
    <row r="11" spans="1:8" x14ac:dyDescent="0.25">
      <c r="A11" s="48">
        <v>8</v>
      </c>
      <c r="B11" s="49" t="s">
        <v>76</v>
      </c>
      <c r="C11" s="49" t="s">
        <v>56</v>
      </c>
      <c r="D11" s="50">
        <v>6790.85375</v>
      </c>
      <c r="E11" s="50">
        <v>3815</v>
      </c>
      <c r="F11" s="50">
        <v>2582.3529411764707</v>
      </c>
      <c r="G11" s="50">
        <v>6397.35294117647</v>
      </c>
      <c r="H11" s="51">
        <v>393.50080882352995</v>
      </c>
    </row>
    <row r="12" spans="1:8" x14ac:dyDescent="0.25">
      <c r="A12" s="48">
        <v>9</v>
      </c>
      <c r="B12" s="49" t="s">
        <v>80</v>
      </c>
      <c r="C12" s="49" t="s">
        <v>56</v>
      </c>
      <c r="D12" s="50">
        <v>6756.67185</v>
      </c>
      <c r="E12" s="50">
        <v>3815</v>
      </c>
      <c r="F12" s="50">
        <v>2582.3529411764707</v>
      </c>
      <c r="G12" s="50">
        <v>6397.35294117647</v>
      </c>
      <c r="H12" s="51">
        <v>359.31890882352945</v>
      </c>
    </row>
    <row r="13" spans="1:8" x14ac:dyDescent="0.25">
      <c r="A13" s="48">
        <v>10</v>
      </c>
      <c r="B13" s="49" t="s">
        <v>78</v>
      </c>
      <c r="C13" s="49" t="s">
        <v>56</v>
      </c>
      <c r="D13" s="50">
        <v>6597.07234999999</v>
      </c>
      <c r="E13" s="50">
        <v>3815</v>
      </c>
      <c r="F13" s="50">
        <v>2582.3529411764707</v>
      </c>
      <c r="G13" s="50">
        <v>6397.35294117647</v>
      </c>
      <c r="H13" s="51">
        <v>199.7194088235201</v>
      </c>
    </row>
    <row r="14" spans="1:8" x14ac:dyDescent="0.25">
      <c r="A14" s="48">
        <v>11</v>
      </c>
      <c r="B14" s="49" t="s">
        <v>70</v>
      </c>
      <c r="C14" s="49" t="s">
        <v>56</v>
      </c>
      <c r="D14" s="50">
        <v>6323.22695</v>
      </c>
      <c r="E14" s="50">
        <v>3815</v>
      </c>
      <c r="F14" s="50">
        <v>2582.3529411764707</v>
      </c>
      <c r="G14" s="50">
        <v>6397.35294117647</v>
      </c>
      <c r="H14" s="52">
        <v>-74.12599117647005</v>
      </c>
    </row>
    <row r="15" spans="1:8" x14ac:dyDescent="0.25">
      <c r="A15" s="48">
        <v>12</v>
      </c>
      <c r="B15" s="49" t="s">
        <v>82</v>
      </c>
      <c r="C15" s="49" t="s">
        <v>56</v>
      </c>
      <c r="D15" s="50">
        <v>6078.90774999999</v>
      </c>
      <c r="E15" s="50">
        <v>3815</v>
      </c>
      <c r="F15" s="50">
        <v>2582.3529411764707</v>
      </c>
      <c r="G15" s="50">
        <v>6397.35294117647</v>
      </c>
      <c r="H15" s="52">
        <v>-318.44519117647997</v>
      </c>
    </row>
    <row r="16" spans="1:8" x14ac:dyDescent="0.25">
      <c r="A16" s="48">
        <v>13</v>
      </c>
      <c r="B16" s="49" t="s">
        <v>84</v>
      </c>
      <c r="C16" s="49" t="s">
        <v>56</v>
      </c>
      <c r="D16" s="50">
        <v>5769.93065</v>
      </c>
      <c r="E16" s="50">
        <v>3815</v>
      </c>
      <c r="F16" s="50">
        <v>2582.3529411764707</v>
      </c>
      <c r="G16" s="50">
        <v>6397.35294117647</v>
      </c>
      <c r="H16" s="52">
        <v>-627.42229117647</v>
      </c>
    </row>
    <row r="17" spans="1:8" x14ac:dyDescent="0.25">
      <c r="A17" s="48">
        <v>14</v>
      </c>
      <c r="B17" s="49" t="s">
        <v>91</v>
      </c>
      <c r="C17" s="49" t="s">
        <v>56</v>
      </c>
      <c r="D17" s="50">
        <v>3440.20949999999</v>
      </c>
      <c r="E17" s="50">
        <v>3815</v>
      </c>
      <c r="F17" s="50">
        <v>2582.3529411764707</v>
      </c>
      <c r="G17" s="50">
        <v>6397.35294117647</v>
      </c>
      <c r="H17" s="52">
        <v>-2957.1434411764803</v>
      </c>
    </row>
    <row r="18" spans="1:8" x14ac:dyDescent="0.25">
      <c r="A18" s="48">
        <v>15</v>
      </c>
      <c r="B18" s="49" t="s">
        <v>89</v>
      </c>
      <c r="C18" s="49" t="s">
        <v>56</v>
      </c>
      <c r="D18" s="50">
        <v>3405.1842</v>
      </c>
      <c r="E18" s="50">
        <v>3815</v>
      </c>
      <c r="F18" s="50">
        <v>2582.3529411764707</v>
      </c>
      <c r="G18" s="50">
        <v>6397.35294117647</v>
      </c>
      <c r="H18" s="52">
        <v>-2992.16874117647</v>
      </c>
    </row>
    <row r="19" spans="1:8" x14ac:dyDescent="0.25">
      <c r="A19" s="48">
        <v>16</v>
      </c>
      <c r="B19" s="49" t="s">
        <v>86</v>
      </c>
      <c r="C19" s="49" t="s">
        <v>56</v>
      </c>
      <c r="D19" s="50">
        <v>3077.9215499999996</v>
      </c>
      <c r="E19" s="50">
        <v>3815</v>
      </c>
      <c r="F19" s="50">
        <v>2582.3529411764707</v>
      </c>
      <c r="G19" s="50">
        <v>6397.35294117647</v>
      </c>
      <c r="H19" s="52">
        <v>-3319.4313911764707</v>
      </c>
    </row>
    <row r="20" spans="1:8" x14ac:dyDescent="0.25">
      <c r="A20" s="48">
        <v>17</v>
      </c>
      <c r="B20" s="49" t="s">
        <v>93</v>
      </c>
      <c r="C20" s="49" t="s">
        <v>56</v>
      </c>
      <c r="D20" s="50">
        <v>2601.85309999999</v>
      </c>
      <c r="E20" s="50">
        <v>3815</v>
      </c>
      <c r="F20" s="50">
        <v>2582.3529411764707</v>
      </c>
      <c r="G20" s="50">
        <v>6397.35294117647</v>
      </c>
      <c r="H20" s="52">
        <v>-3795.4998411764805</v>
      </c>
    </row>
    <row r="21" spans="3:8" x14ac:dyDescent="0.25">
      <c r="C21" t="s">
        <v>96</v>
      </c>
      <c r="D21" s="53">
        <f>SUM(D4:D20)</f>
      </c>
      <c r="E21" s="53">
        <f>SUM(E4:E20)</f>
      </c>
      <c r="F21" s="53">
        <f>SUM(F4:F20)</f>
      </c>
      <c r="G21" s="53">
        <f>SUM(G4:G20)</f>
      </c>
      <c r="H21" s="53">
        <f>SUM(H4:H20)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31"/>
  <sheetFormatPr defaultRowHeight="15" outlineLevelRow="0" outlineLevelCol="0" x14ac:dyDescent="55"/>
  <cols>
    <col min="1" max="1" width="5" customWidth="1"/>
    <col min="2" max="2" width="35" customWidth="1"/>
    <col min="3" max="4" width="20" customWidth="1"/>
    <col min="5" max="5" width="40" customWidth="1"/>
  </cols>
  <sheetData>
    <row r="1" ht="30" customHeight="1" spans="1:5" x14ac:dyDescent="0.25">
      <c r="A1" s="54" t="s">
        <v>117</v>
      </c>
      <c r="B1" s="54"/>
      <c r="C1" s="54"/>
      <c r="D1" s="54"/>
      <c r="E1" s="54"/>
    </row>
    <row r="3" spans="1:5" x14ac:dyDescent="0.25">
      <c r="A3" s="55" t="s">
        <v>118</v>
      </c>
      <c r="B3" s="55"/>
      <c r="C3" s="55"/>
      <c r="D3" s="55"/>
      <c r="E3" s="55"/>
    </row>
    <row r="4" spans="2:3" x14ac:dyDescent="0.25">
      <c r="B4" s="13" t="s">
        <v>119</v>
      </c>
      <c r="C4" s="56">
        <v>17</v>
      </c>
    </row>
    <row r="5" spans="2:3" x14ac:dyDescent="0.25">
      <c r="B5" s="13" t="s">
        <v>3</v>
      </c>
      <c r="C5" s="56" t="s">
        <v>120</v>
      </c>
    </row>
    <row r="6" spans="2:3" x14ac:dyDescent="0.25">
      <c r="B6" s="13" t="s">
        <v>4</v>
      </c>
      <c r="C6" s="56" t="s">
        <v>121</v>
      </c>
    </row>
    <row r="7" spans="2:3" x14ac:dyDescent="0.25">
      <c r="B7" s="13" t="s">
        <v>5</v>
      </c>
      <c r="C7" s="56" t="s">
        <v>122</v>
      </c>
    </row>
    <row r="8" spans="2:3" x14ac:dyDescent="0.25">
      <c r="B8" s="13" t="s">
        <v>6</v>
      </c>
      <c r="C8" s="56" t="s">
        <v>123</v>
      </c>
    </row>
    <row r="9" spans="2:3" x14ac:dyDescent="0.25">
      <c r="B9" s="13" t="s">
        <v>15</v>
      </c>
      <c r="C9" s="56">
        <v>10</v>
      </c>
    </row>
    <row r="10" spans="2:3" x14ac:dyDescent="0.25">
      <c r="B10" s="13" t="s">
        <v>16</v>
      </c>
      <c r="C10" s="56">
        <v>7</v>
      </c>
    </row>
    <row r="11" spans="2:3" x14ac:dyDescent="0.25">
      <c r="B11" s="13" t="s">
        <v>14</v>
      </c>
      <c r="C11" s="56" t="s">
        <v>124</v>
      </c>
    </row>
    <row r="14" spans="1:5" x14ac:dyDescent="0.25">
      <c r="A14" s="57" t="s">
        <v>125</v>
      </c>
      <c r="B14" s="57"/>
      <c r="C14" s="57"/>
      <c r="D14" s="57"/>
      <c r="E14" s="57"/>
    </row>
    <row r="16" spans="1:5" x14ac:dyDescent="0.25">
      <c r="A16" s="58">
        <v>1</v>
      </c>
      <c r="B16" s="58" t="s">
        <v>126</v>
      </c>
      <c r="C16" s="58" t="s">
        <v>123</v>
      </c>
      <c r="D16" s="58" t="s">
        <v>127</v>
      </c>
      <c r="E16" s="58" t="s">
        <v>128</v>
      </c>
    </row>
    <row r="17" spans="1:5" x14ac:dyDescent="0.25">
      <c r="A17" s="58">
        <v>2</v>
      </c>
      <c r="B17" s="58" t="s">
        <v>129</v>
      </c>
      <c r="C17" s="58" t="s">
        <v>130</v>
      </c>
      <c r="D17" s="58" t="s">
        <v>131</v>
      </c>
      <c r="E17" s="58" t="s">
        <v>132</v>
      </c>
    </row>
    <row r="18" spans="1:5" x14ac:dyDescent="0.25">
      <c r="A18" s="58">
        <v>3</v>
      </c>
      <c r="B18" s="58" t="s">
        <v>133</v>
      </c>
      <c r="C18" s="58" t="s">
        <v>134</v>
      </c>
      <c r="D18" s="58" t="s">
        <v>135</v>
      </c>
      <c r="E18" s="58" t="s">
        <v>136</v>
      </c>
    </row>
    <row r="20" spans="1:5" x14ac:dyDescent="0.25">
      <c r="A20" s="17" t="s">
        <v>137</v>
      </c>
      <c r="B20" s="17"/>
      <c r="C20" s="17"/>
      <c r="D20" s="17"/>
      <c r="E20" s="17"/>
    </row>
    <row r="22" spans="1:5" x14ac:dyDescent="0.25">
      <c r="A22" s="59" t="s">
        <v>138</v>
      </c>
      <c r="B22" s="59"/>
      <c r="C22" s="59"/>
      <c r="D22" s="59"/>
      <c r="E22" s="59"/>
    </row>
    <row r="23" spans="1:5" x14ac:dyDescent="0.25">
      <c r="A23" s="59" t="s">
        <v>139</v>
      </c>
      <c r="B23" s="59"/>
      <c r="C23" s="59"/>
      <c r="D23" s="59"/>
      <c r="E23" s="59"/>
    </row>
    <row r="24" spans="1:5" x14ac:dyDescent="0.25">
      <c r="A24" s="59" t="s">
        <v>140</v>
      </c>
      <c r="B24" s="59"/>
      <c r="C24" s="59"/>
      <c r="D24" s="59"/>
      <c r="E24" s="59"/>
    </row>
    <row r="25" spans="1:5" x14ac:dyDescent="0.25">
      <c r="A25" s="59" t="s">
        <v>141</v>
      </c>
      <c r="B25" s="59"/>
      <c r="C25" s="59"/>
      <c r="D25" s="59"/>
      <c r="E25" s="59"/>
    </row>
    <row r="26" spans="1:5" x14ac:dyDescent="0.25">
      <c r="A26" s="59" t="s">
        <v>142</v>
      </c>
      <c r="B26" s="59"/>
      <c r="C26" s="59"/>
      <c r="D26" s="59"/>
      <c r="E26" s="59"/>
    </row>
    <row r="27" spans="1:5" x14ac:dyDescent="0.25">
      <c r="A27" s="59" t="s">
        <v>143</v>
      </c>
      <c r="B27" s="59"/>
      <c r="C27" s="59"/>
      <c r="D27" s="59"/>
      <c r="E27" s="59"/>
    </row>
    <row r="28" spans="1:5" x14ac:dyDescent="0.25">
      <c r="A28" s="59" t="s">
        <v>144</v>
      </c>
      <c r="B28" s="59"/>
      <c r="C28" s="59"/>
      <c r="D28" s="59"/>
      <c r="E28" s="59"/>
    </row>
    <row r="29" spans="1:5" x14ac:dyDescent="0.25">
      <c r="A29" s="59" t="s">
        <v>145</v>
      </c>
      <c r="B29" s="59"/>
      <c r="C29" s="59"/>
      <c r="D29" s="59"/>
      <c r="E29" s="59"/>
    </row>
    <row r="30" spans="1:5" x14ac:dyDescent="0.25">
      <c r="A30" s="59" t="s">
        <v>146</v>
      </c>
      <c r="B30" s="59"/>
      <c r="C30" s="59"/>
      <c r="D30" s="59"/>
      <c r="E30" s="59"/>
    </row>
    <row r="31" spans="1:5" x14ac:dyDescent="0.25">
      <c r="A31" s="59" t="s">
        <v>147</v>
      </c>
      <c r="B31" s="59"/>
      <c r="C31" s="59"/>
      <c r="D31" s="59"/>
      <c r="E31" s="59"/>
    </row>
  </sheetData>
  <mergeCells count="14">
    <mergeCell ref="A1:E1"/>
    <mergeCell ref="A3:E3"/>
    <mergeCell ref="A14:E14"/>
    <mergeCell ref="A20:E20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Salaries</vt:lpstr>
      <vt:lpstr>Incomes</vt:lpstr>
      <vt:lpstr>Expenses</vt:lpstr>
      <vt:lpstr>Net Profit</vt:lpstr>
      <vt:lpstr>Improvement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Nokhaba Payroll System</dc:creator>
  <dc:title/>
  <dc:subject/>
  <dc:description/>
  <cp:keywords/>
  <cp:category/>
  <cp:lastModifiedBy>Unknown</cp:lastModifiedBy>
  <dcterms:created xsi:type="dcterms:W3CDTF">2026-10-19T09:44:14Z</dcterms:created>
  <dcterms:modified xsi:type="dcterms:W3CDTF">2026-10-19T09:44:14Z</dcterms:modified>
</cp:coreProperties>
</file>